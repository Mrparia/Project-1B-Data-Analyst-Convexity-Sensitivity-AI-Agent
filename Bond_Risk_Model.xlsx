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ond_Data" sheetId="2" state="visible" r:id="rId4"/>
    <sheet name="Portfolio_Summary" sheetId="3" state="visible" r:id="rId5"/>
    <sheet name="Bucket_Exposure" sheetId="4" state="visible" r:id="rId6"/>
    <sheet name="Scenario_Data" sheetId="5" state="visible" r:id="rId7"/>
    <sheet name="VaR_Analysis" sheetId="6" state="visible" r:id="rId8"/>
    <sheet name="Sector_Exposure" sheetId="7" state="visible" r:id="rId9"/>
    <sheet name="PowerBI_DAX_Measur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<sst xmlns="http://schemas.openxmlformats.org/spreadsheetml/2006/main" count="3768" uniqueCount="1399">
  <si>
    <t xml:space="preserve">Bond Portfolio Convexity Sensitivity — Excel / Power BI Model</t>
  </si>
  <si>
    <t xml:space="preserve">This workbook accompanies the Python/R analytics engine and ML models.</t>
  </si>
  <si>
    <t xml:space="preserve">Sheets:</t>
  </si>
  <si>
    <t xml:space="preserve">  Bond_Data           Raw 300-bond portfolio (source of truth for all formulas)</t>
  </si>
  <si>
    <t xml:space="preserve">  Portfolio_Summary   Live KPIs (duration, convexity, DV01, YTM) + shift sensitivity table &amp; chart</t>
  </si>
  <si>
    <t xml:space="preserve">  Bucket_Exposure     Key-rate bucket duration/convexity contribution (SUMIFS/SUMPRODUCT)</t>
  </si>
  <si>
    <t xml:space="preserve">  Sector_Exposure     Sector concentration and risk profile</t>
  </si>
  <si>
    <t xml:space="preserve">  Scenario_Data       1,000 Monte Carlo yield-curve scenarios (raw)</t>
  </si>
  <si>
    <t xml:space="preserve">  VaR_Analysis        VaR / CVaR at 90/95/99% + distribution statistics (all live formulas)</t>
  </si>
  <si>
    <t xml:space="preserve">  PowerBI_DAX_Measures DAX code to paste into a Power BI model built on the same tables</t>
  </si>
  <si>
    <t xml:space="preserve">Color coding: Blue = input/selectable cell, Black = formula, Green = cross-sheet link.</t>
  </si>
  <si>
    <t xml:space="preserve">All KPI and risk figures recalculate automatically if Bond_Data or Scenario_Data change.</t>
  </si>
  <si>
    <t xml:space="preserve">BondID</t>
  </si>
  <si>
    <t xml:space="preserve">ISIN</t>
  </si>
  <si>
    <t xml:space="preserve">Issuer</t>
  </si>
  <si>
    <t xml:space="preserve">Sector</t>
  </si>
  <si>
    <t xml:space="preserve">CreditRating</t>
  </si>
  <si>
    <t xml:space="preserve">Currency</t>
  </si>
  <si>
    <t xml:space="preserve">FaceValue</t>
  </si>
  <si>
    <t xml:space="preserve">CouponRate</t>
  </si>
  <si>
    <t xml:space="preserve">CouponFrequency</t>
  </si>
  <si>
    <t xml:space="preserve">BondType</t>
  </si>
  <si>
    <t xml:space="preserve">IssueDate</t>
  </si>
  <si>
    <t xml:space="preserve">MaturityDate</t>
  </si>
  <si>
    <t xml:space="preserve">ValuationDate</t>
  </si>
  <si>
    <t xml:space="preserve">YearsToMaturity</t>
  </si>
  <si>
    <t xml:space="preserve">OriginalMaturityYears</t>
  </si>
  <si>
    <t xml:space="preserve">YieldToMaturity</t>
  </si>
  <si>
    <t xml:space="preserve">CleanPrice</t>
  </si>
  <si>
    <t xml:space="preserve">AccruedInterest</t>
  </si>
  <si>
    <t xml:space="preserve">DirtyPrice</t>
  </si>
  <si>
    <t xml:space="preserve">MacaulayDuration</t>
  </si>
  <si>
    <t xml:space="preserve">ModifiedDuration</t>
  </si>
  <si>
    <t xml:space="preserve">Convexity</t>
  </si>
  <si>
    <t xml:space="preserve">DV01_Per100Face</t>
  </si>
  <si>
    <t xml:space="preserve">EffectiveDuration</t>
  </si>
  <si>
    <t xml:space="preserve">EffectiveConvexity</t>
  </si>
  <si>
    <t xml:space="preserve">SpreadOverBenchmark_bps</t>
  </si>
  <si>
    <t xml:space="preserve">OAS_bps</t>
  </si>
  <si>
    <t xml:space="preserve">ZSpread_bps</t>
  </si>
  <si>
    <t xml:space="preserve">KeyRateBucket</t>
  </si>
  <si>
    <t xml:space="preserve">Quantity</t>
  </si>
  <si>
    <t xml:space="preserve">MarketValue_LocalCcy</t>
  </si>
  <si>
    <t xml:space="preserve">MarketValue_INR</t>
  </si>
  <si>
    <t xml:space="preserve">PortfolioWeight</t>
  </si>
  <si>
    <t xml:space="preserve">IsCallable</t>
  </si>
  <si>
    <t xml:space="preserve">CallDate</t>
  </si>
  <si>
    <t xml:space="preserve">IsPutable</t>
  </si>
  <si>
    <t xml:space="preserve">IsFloatingRate</t>
  </si>
  <si>
    <t xml:space="preserve">BenchmarkIndex</t>
  </si>
  <si>
    <t xml:space="preserve">PriceChange_Up50bps</t>
  </si>
  <si>
    <t xml:space="preserve">PriceChange_Dn50bps</t>
  </si>
  <si>
    <t xml:space="preserve">PriceChange_Up100bps</t>
  </si>
  <si>
    <t xml:space="preserve">PriceChange_Dn100bps</t>
  </si>
  <si>
    <t xml:space="preserve">PriceChange_Up200bps</t>
  </si>
  <si>
    <t xml:space="preserve">PriceChange_Dn200bps</t>
  </si>
  <si>
    <t xml:space="preserve">ZTFI-0001</t>
  </si>
  <si>
    <t xml:space="preserve">IN1043321819</t>
  </si>
  <si>
    <t xml:space="preserve">Government of India</t>
  </si>
  <si>
    <t xml:space="preserve">Government</t>
  </si>
  <si>
    <t xml:space="preserve">SOV</t>
  </si>
  <si>
    <t xml:space="preserve">INR</t>
  </si>
  <si>
    <t xml:space="preserve">Fixed</t>
  </si>
  <si>
    <t xml:space="preserve">2024-02-24</t>
  </si>
  <si>
    <t xml:space="preserve">2027-02-23</t>
  </si>
  <si>
    <t xml:space="preserve">2024-10-31</t>
  </si>
  <si>
    <t xml:space="preserve">2-3Y</t>
  </si>
  <si>
    <t xml:space="preserve">IN10YT</t>
  </si>
  <si>
    <t xml:space="preserve">ZTFI-0002</t>
  </si>
  <si>
    <t xml:space="preserve">IN7940265423</t>
  </si>
  <si>
    <t xml:space="preserve">2022-11-08</t>
  </si>
  <si>
    <t xml:space="preserve">2045-11-02</t>
  </si>
  <si>
    <t xml:space="preserve">20Y+</t>
  </si>
  <si>
    <t xml:space="preserve">ZTFI-0003</t>
  </si>
  <si>
    <t xml:space="preserve">IN7816184959</t>
  </si>
  <si>
    <t xml:space="preserve">2024-02-08</t>
  </si>
  <si>
    <t xml:space="preserve">2030-02-06</t>
  </si>
  <si>
    <t xml:space="preserve">5-7Y</t>
  </si>
  <si>
    <t xml:space="preserve">ZTFI-0004</t>
  </si>
  <si>
    <t xml:space="preserve">IN4752553419</t>
  </si>
  <si>
    <t xml:space="preserve">2013-10-08</t>
  </si>
  <si>
    <t xml:space="preserve">2049-09-29</t>
  </si>
  <si>
    <t xml:space="preserve">ZTFI-0005</t>
  </si>
  <si>
    <t xml:space="preserve">IN5030564139</t>
  </si>
  <si>
    <t xml:space="preserve">2021-04-03</t>
  </si>
  <si>
    <t xml:space="preserve">2043-03-29</t>
  </si>
  <si>
    <t xml:space="preserve">15-20Y</t>
  </si>
  <si>
    <t xml:space="preserve">ZTFI-0006</t>
  </si>
  <si>
    <t xml:space="preserve">IN8849696532</t>
  </si>
  <si>
    <t xml:space="preserve">2019-10-21</t>
  </si>
  <si>
    <t xml:space="preserve">2026-10-19</t>
  </si>
  <si>
    <t xml:space="preserve">1-2Y</t>
  </si>
  <si>
    <t xml:space="preserve">ZTFI-0007</t>
  </si>
  <si>
    <t xml:space="preserve">IN1669784801</t>
  </si>
  <si>
    <t xml:space="preserve">2013-06-15</t>
  </si>
  <si>
    <t xml:space="preserve">2049-06-06</t>
  </si>
  <si>
    <t xml:space="preserve">ZTFI-0008</t>
  </si>
  <si>
    <t xml:space="preserve">IN4828148932</t>
  </si>
  <si>
    <t xml:space="preserve">2018-05-28</t>
  </si>
  <si>
    <t xml:space="preserve">2030-05-25</t>
  </si>
  <si>
    <t xml:space="preserve">ZTFI-0009</t>
  </si>
  <si>
    <t xml:space="preserve">IN1543039117</t>
  </si>
  <si>
    <t xml:space="preserve">2013-03-28</t>
  </si>
  <si>
    <t xml:space="preserve">2049-03-19</t>
  </si>
  <si>
    <t xml:space="preserve">ZTFI-0010</t>
  </si>
  <si>
    <t xml:space="preserve">IN8346578713</t>
  </si>
  <si>
    <t xml:space="preserve">2024-01-12</t>
  </si>
  <si>
    <t xml:space="preserve">2047-01-06</t>
  </si>
  <si>
    <t xml:space="preserve">ZTFI-0011</t>
  </si>
  <si>
    <t xml:space="preserve">IN1051834738</t>
  </si>
  <si>
    <t xml:space="preserve">2015-12-26</t>
  </si>
  <si>
    <t xml:space="preserve">2053-12-16</t>
  </si>
  <si>
    <t xml:space="preserve">ZTFI-0012</t>
  </si>
  <si>
    <t xml:space="preserve">IN6566701065</t>
  </si>
  <si>
    <t xml:space="preserve">2022-08-06</t>
  </si>
  <si>
    <t xml:space="preserve">2030-08-04</t>
  </si>
  <si>
    <t xml:space="preserve">ZTFI-0013</t>
  </si>
  <si>
    <t xml:space="preserve">IN1781080132</t>
  </si>
  <si>
    <t xml:space="preserve">2021-03-28</t>
  </si>
  <si>
    <t xml:space="preserve">2053-03-20</t>
  </si>
  <si>
    <t xml:space="preserve">ZTFI-0014</t>
  </si>
  <si>
    <t xml:space="preserve">IN7468723430</t>
  </si>
  <si>
    <t xml:space="preserve">2023-06-14</t>
  </si>
  <si>
    <t xml:space="preserve">2059-06-05</t>
  </si>
  <si>
    <t xml:space="preserve">ZTFI-0015</t>
  </si>
  <si>
    <t xml:space="preserve">IN8121913619</t>
  </si>
  <si>
    <t xml:space="preserve">2023-10-05</t>
  </si>
  <si>
    <t xml:space="preserve">2063-09-25</t>
  </si>
  <si>
    <t xml:space="preserve">ZTFI-0016</t>
  </si>
  <si>
    <t xml:space="preserve">IN5346247510</t>
  </si>
  <si>
    <t xml:space="preserve">2009-11-25</t>
  </si>
  <si>
    <t xml:space="preserve">2047-11-16</t>
  </si>
  <si>
    <t xml:space="preserve">ZTFI-0017</t>
  </si>
  <si>
    <t xml:space="preserve">IN3542784980</t>
  </si>
  <si>
    <t xml:space="preserve">2019-12-31</t>
  </si>
  <si>
    <t xml:space="preserve">2056-12-21</t>
  </si>
  <si>
    <t xml:space="preserve">ZTFI-0018</t>
  </si>
  <si>
    <t xml:space="preserve">IN4935348740</t>
  </si>
  <si>
    <t xml:space="preserve">2012-04-26</t>
  </si>
  <si>
    <t xml:space="preserve">2041-04-19</t>
  </si>
  <si>
    <t xml:space="preserve">ZTFI-0019</t>
  </si>
  <si>
    <t xml:space="preserve">IN7868011280</t>
  </si>
  <si>
    <t xml:space="preserve">2016-04-30</t>
  </si>
  <si>
    <t xml:space="preserve">2055-04-21</t>
  </si>
  <si>
    <t xml:space="preserve">ZTFI-0020</t>
  </si>
  <si>
    <t xml:space="preserve">IN3315869232</t>
  </si>
  <si>
    <t xml:space="preserve">2013-10-06</t>
  </si>
  <si>
    <t xml:space="preserve">2026-10-03</t>
  </si>
  <si>
    <t xml:space="preserve">ZTFI-0021</t>
  </si>
  <si>
    <t xml:space="preserve">IN3421607337</t>
  </si>
  <si>
    <t xml:space="preserve">2021-02-07</t>
  </si>
  <si>
    <t xml:space="preserve">2037-02-03</t>
  </si>
  <si>
    <t xml:space="preserve">10-15Y</t>
  </si>
  <si>
    <t xml:space="preserve">ZTFI-0022</t>
  </si>
  <si>
    <t xml:space="preserve">IN8685014294</t>
  </si>
  <si>
    <t xml:space="preserve">2018-01-14</t>
  </si>
  <si>
    <t xml:space="preserve">2058-01-04</t>
  </si>
  <si>
    <t xml:space="preserve">ZTFI-0023</t>
  </si>
  <si>
    <t xml:space="preserve">IN9340608835</t>
  </si>
  <si>
    <t xml:space="preserve">2015-04-22</t>
  </si>
  <si>
    <t xml:space="preserve">2038-04-16</t>
  </si>
  <si>
    <t xml:space="preserve">ZTFI-0024</t>
  </si>
  <si>
    <t xml:space="preserve">IN6564823662</t>
  </si>
  <si>
    <t xml:space="preserve">2018-06-14</t>
  </si>
  <si>
    <t xml:space="preserve">2039-06-09</t>
  </si>
  <si>
    <t xml:space="preserve">ZTFI-0025</t>
  </si>
  <si>
    <t xml:space="preserve">IN7738721489</t>
  </si>
  <si>
    <t xml:space="preserve">2014-08-02</t>
  </si>
  <si>
    <t xml:space="preserve">2031-07-29</t>
  </si>
  <si>
    <t xml:space="preserve">ZTFI-0026</t>
  </si>
  <si>
    <t xml:space="preserve">IN1769367632</t>
  </si>
  <si>
    <t xml:space="preserve">2023-06-11</t>
  </si>
  <si>
    <t xml:space="preserve">2025-06-10</t>
  </si>
  <si>
    <t xml:space="preserve">0-1Y</t>
  </si>
  <si>
    <t xml:space="preserve">ZTFI-0027</t>
  </si>
  <si>
    <t xml:space="preserve">IN8317278895</t>
  </si>
  <si>
    <t xml:space="preserve">2015-06-17</t>
  </si>
  <si>
    <t xml:space="preserve">2045-06-09</t>
  </si>
  <si>
    <t xml:space="preserve">ZTFI-0028</t>
  </si>
  <si>
    <t xml:space="preserve">IN7743487347</t>
  </si>
  <si>
    <t xml:space="preserve">2020-12-08</t>
  </si>
  <si>
    <t xml:space="preserve">2040-12-03</t>
  </si>
  <si>
    <t xml:space="preserve">ZTFI-0029</t>
  </si>
  <si>
    <t xml:space="preserve">IN2316658760</t>
  </si>
  <si>
    <t xml:space="preserve">2018-09-10</t>
  </si>
  <si>
    <t xml:space="preserve">2046-09-03</t>
  </si>
  <si>
    <t xml:space="preserve">ZTFI-0030</t>
  </si>
  <si>
    <t xml:space="preserve">IN0546688937</t>
  </si>
  <si>
    <t xml:space="preserve">2017-04-19</t>
  </si>
  <si>
    <t xml:space="preserve">2046-04-12</t>
  </si>
  <si>
    <t xml:space="preserve">ZTFI-0031</t>
  </si>
  <si>
    <t xml:space="preserve">IN2980699016</t>
  </si>
  <si>
    <t xml:space="preserve">2021-09-13</t>
  </si>
  <si>
    <t xml:space="preserve">2052-09-05</t>
  </si>
  <si>
    <t xml:space="preserve">ZTFI-0032</t>
  </si>
  <si>
    <t xml:space="preserve">IN6417080531</t>
  </si>
  <si>
    <t xml:space="preserve">2022-01-27</t>
  </si>
  <si>
    <t xml:space="preserve">2026-01-26</t>
  </si>
  <si>
    <t xml:space="preserve">ZTFI-0033</t>
  </si>
  <si>
    <t xml:space="preserve">IN7193745299</t>
  </si>
  <si>
    <t xml:space="preserve">2018-02-12</t>
  </si>
  <si>
    <t xml:space="preserve">2027-02-10</t>
  </si>
  <si>
    <t xml:space="preserve">ZTFI-0034</t>
  </si>
  <si>
    <t xml:space="preserve">IN6631931491</t>
  </si>
  <si>
    <t xml:space="preserve">2012-12-29</t>
  </si>
  <si>
    <t xml:space="preserve">2050-12-20</t>
  </si>
  <si>
    <t xml:space="preserve">ZTFI-0035</t>
  </si>
  <si>
    <t xml:space="preserve">IN6716572628</t>
  </si>
  <si>
    <t xml:space="preserve">2015-05-30</t>
  </si>
  <si>
    <t xml:space="preserve">2034-05-25</t>
  </si>
  <si>
    <t xml:space="preserve">7-10Y</t>
  </si>
  <si>
    <t xml:space="preserve">ZTFI-0036</t>
  </si>
  <si>
    <t xml:space="preserve">IN3147379965</t>
  </si>
  <si>
    <t xml:space="preserve">2043-09-08</t>
  </si>
  <si>
    <t xml:space="preserve">ZTFI-0037</t>
  </si>
  <si>
    <t xml:space="preserve">IN0831367837</t>
  </si>
  <si>
    <t xml:space="preserve">2017-11-03</t>
  </si>
  <si>
    <t xml:space="preserve">2050-10-26</t>
  </si>
  <si>
    <t xml:space="preserve">ZTFI-0038</t>
  </si>
  <si>
    <t xml:space="preserve">IN9578856855</t>
  </si>
  <si>
    <t xml:space="preserve">2019-11-22</t>
  </si>
  <si>
    <t xml:space="preserve">2038-11-17</t>
  </si>
  <si>
    <t xml:space="preserve">ZTFI-0039</t>
  </si>
  <si>
    <t xml:space="preserve">IN3749894134</t>
  </si>
  <si>
    <t xml:space="preserve">2020-09-16</t>
  </si>
  <si>
    <t xml:space="preserve">2033-09-13</t>
  </si>
  <si>
    <t xml:space="preserve">ZTFI-0040</t>
  </si>
  <si>
    <t xml:space="preserve">IN2710947775</t>
  </si>
  <si>
    <t xml:space="preserve">2023-04-29</t>
  </si>
  <si>
    <t xml:space="preserve">2028-04-27</t>
  </si>
  <si>
    <t xml:space="preserve">3-5Y</t>
  </si>
  <si>
    <t xml:space="preserve">ZTFI-0041</t>
  </si>
  <si>
    <t xml:space="preserve">IN0229413186</t>
  </si>
  <si>
    <t xml:space="preserve">2013-02-04</t>
  </si>
  <si>
    <t xml:space="preserve">2029-01-31</t>
  </si>
  <si>
    <t xml:space="preserve">ZTFI-0042</t>
  </si>
  <si>
    <t xml:space="preserve">IN9909133412</t>
  </si>
  <si>
    <t xml:space="preserve">2023-04-01</t>
  </si>
  <si>
    <t xml:space="preserve">2060-03-22</t>
  </si>
  <si>
    <t xml:space="preserve">ZTFI-0043</t>
  </si>
  <si>
    <t xml:space="preserve">IN4471349361</t>
  </si>
  <si>
    <t xml:space="preserve">2015-04-04</t>
  </si>
  <si>
    <t xml:space="preserve">2026-04-01</t>
  </si>
  <si>
    <t xml:space="preserve">ZTFI-0044</t>
  </si>
  <si>
    <t xml:space="preserve">IN1746488771</t>
  </si>
  <si>
    <t xml:space="preserve">2013-09-09</t>
  </si>
  <si>
    <t xml:space="preserve">2042-09-02</t>
  </si>
  <si>
    <t xml:space="preserve">ZTFI-0045</t>
  </si>
  <si>
    <t xml:space="preserve">IN4902787429</t>
  </si>
  <si>
    <t xml:space="preserve">2010-04-17</t>
  </si>
  <si>
    <t xml:space="preserve">2043-04-09</t>
  </si>
  <si>
    <t xml:space="preserve">ZTFI-0046</t>
  </si>
  <si>
    <t xml:space="preserve">IN6746807154</t>
  </si>
  <si>
    <t xml:space="preserve">2011-10-20</t>
  </si>
  <si>
    <t xml:space="preserve">2038-10-13</t>
  </si>
  <si>
    <t xml:space="preserve">ZTFI-0047</t>
  </si>
  <si>
    <t xml:space="preserve">IN3859770348</t>
  </si>
  <si>
    <t xml:space="preserve">2017-12-26</t>
  </si>
  <si>
    <t xml:space="preserve">2037-12-21</t>
  </si>
  <si>
    <t xml:space="preserve">ZTFI-0048</t>
  </si>
  <si>
    <t xml:space="preserve">IN2480861317</t>
  </si>
  <si>
    <t xml:space="preserve">2019-05-10</t>
  </si>
  <si>
    <t xml:space="preserve">2030-05-07</t>
  </si>
  <si>
    <t xml:space="preserve">ZTFI-0049</t>
  </si>
  <si>
    <t xml:space="preserve">IN3782639821</t>
  </si>
  <si>
    <t xml:space="preserve">2019-05-30</t>
  </si>
  <si>
    <t xml:space="preserve">2047-05-23</t>
  </si>
  <si>
    <t xml:space="preserve">ZTFI-0050</t>
  </si>
  <si>
    <t xml:space="preserve">IN9727875588</t>
  </si>
  <si>
    <t xml:space="preserve">2011-09-26</t>
  </si>
  <si>
    <t xml:space="preserve">2033-09-20</t>
  </si>
  <si>
    <t xml:space="preserve">ZTFI-0051</t>
  </si>
  <si>
    <t xml:space="preserve">IN5766270289</t>
  </si>
  <si>
    <t xml:space="preserve">2018-03-21</t>
  </si>
  <si>
    <t xml:space="preserve">2026-03-19</t>
  </si>
  <si>
    <t xml:space="preserve">ZTFI-0052</t>
  </si>
  <si>
    <t xml:space="preserve">IN2174596158</t>
  </si>
  <si>
    <t xml:space="preserve">2015-04-03</t>
  </si>
  <si>
    <t xml:space="preserve">2037-03-28</t>
  </si>
  <si>
    <t xml:space="preserve">ZTFI-0053</t>
  </si>
  <si>
    <t xml:space="preserve">IN4316117240</t>
  </si>
  <si>
    <t xml:space="preserve">2023-03-01</t>
  </si>
  <si>
    <t xml:space="preserve">2028-02-28</t>
  </si>
  <si>
    <t xml:space="preserve">ZTFI-0054</t>
  </si>
  <si>
    <t xml:space="preserve">IN2196937923</t>
  </si>
  <si>
    <t xml:space="preserve">2017-09-04</t>
  </si>
  <si>
    <t xml:space="preserve">2035-08-31</t>
  </si>
  <si>
    <t xml:space="preserve">ZTFI-0055</t>
  </si>
  <si>
    <t xml:space="preserve">IN7594647436</t>
  </si>
  <si>
    <t xml:space="preserve">2022-09-04</t>
  </si>
  <si>
    <t xml:space="preserve">2030-09-02</t>
  </si>
  <si>
    <t xml:space="preserve">ZTFI-0056</t>
  </si>
  <si>
    <t xml:space="preserve">IN6409097439</t>
  </si>
  <si>
    <t xml:space="preserve">2015-02-10</t>
  </si>
  <si>
    <t xml:space="preserve">2031-02-06</t>
  </si>
  <si>
    <t xml:space="preserve">ZTFI-0057</t>
  </si>
  <si>
    <t xml:space="preserve">IN1047095214</t>
  </si>
  <si>
    <t xml:space="preserve">2021-10-15</t>
  </si>
  <si>
    <t xml:space="preserve">2049-10-08</t>
  </si>
  <si>
    <t xml:space="preserve">ZTFI-0058</t>
  </si>
  <si>
    <t xml:space="preserve">IN4745171236</t>
  </si>
  <si>
    <t xml:space="preserve">2019-01-13</t>
  </si>
  <si>
    <t xml:space="preserve">2056-01-04</t>
  </si>
  <si>
    <t xml:space="preserve">ZTFI-0059</t>
  </si>
  <si>
    <t xml:space="preserve">IN4965137098</t>
  </si>
  <si>
    <t xml:space="preserve">2014-12-13</t>
  </si>
  <si>
    <t xml:space="preserve">2030-12-09</t>
  </si>
  <si>
    <t xml:space="preserve">ZTFI-0060</t>
  </si>
  <si>
    <t xml:space="preserve">IN2004711382</t>
  </si>
  <si>
    <t xml:space="preserve">2014-08-14</t>
  </si>
  <si>
    <t xml:space="preserve">2039-08-08</t>
  </si>
  <si>
    <t xml:space="preserve">ZTFI-0061</t>
  </si>
  <si>
    <t xml:space="preserve">IN1796405377</t>
  </si>
  <si>
    <t xml:space="preserve">2022-11-23</t>
  </si>
  <si>
    <t xml:space="preserve">2047-11-17</t>
  </si>
  <si>
    <t xml:space="preserve">ZTFI-0062</t>
  </si>
  <si>
    <t xml:space="preserve">IN4317139005</t>
  </si>
  <si>
    <t xml:space="preserve">2017-04-04</t>
  </si>
  <si>
    <t xml:space="preserve">2027-04-02</t>
  </si>
  <si>
    <t xml:space="preserve">ZTFI-0063</t>
  </si>
  <si>
    <t xml:space="preserve">IN5290422842</t>
  </si>
  <si>
    <t xml:space="preserve">2024-01-27</t>
  </si>
  <si>
    <t xml:space="preserve">2027-01-26</t>
  </si>
  <si>
    <t xml:space="preserve">ZTFI-0064</t>
  </si>
  <si>
    <t xml:space="preserve">IN0268117758</t>
  </si>
  <si>
    <t xml:space="preserve">2017-01-12</t>
  </si>
  <si>
    <t xml:space="preserve">2047-01-05</t>
  </si>
  <si>
    <t xml:space="preserve">ZTFI-0065</t>
  </si>
  <si>
    <t xml:space="preserve">IN0076617711</t>
  </si>
  <si>
    <t xml:space="preserve">2023-09-05</t>
  </si>
  <si>
    <t xml:space="preserve">2034-09-02</t>
  </si>
  <si>
    <t xml:space="preserve">ZTFI-0066</t>
  </si>
  <si>
    <t xml:space="preserve">IN8478961183</t>
  </si>
  <si>
    <t xml:space="preserve">2018-05-04</t>
  </si>
  <si>
    <t xml:space="preserve">2034-04-30</t>
  </si>
  <si>
    <t xml:space="preserve">ZTFI-0067</t>
  </si>
  <si>
    <t xml:space="preserve">IN4527111161</t>
  </si>
  <si>
    <t xml:space="preserve">2012-07-28</t>
  </si>
  <si>
    <t xml:space="preserve">2037-07-22</t>
  </si>
  <si>
    <t xml:space="preserve">ZTFI-0068</t>
  </si>
  <si>
    <t xml:space="preserve">IN5604945198</t>
  </si>
  <si>
    <t xml:space="preserve">2021-01-31</t>
  </si>
  <si>
    <t xml:space="preserve">2053-01-23</t>
  </si>
  <si>
    <t xml:space="preserve">ZTFI-0069</t>
  </si>
  <si>
    <t xml:space="preserve">IN3689980940</t>
  </si>
  <si>
    <t xml:space="preserve">2010-12-25</t>
  </si>
  <si>
    <t xml:space="preserve">2031-12-20</t>
  </si>
  <si>
    <t xml:space="preserve">ZTFI-0070</t>
  </si>
  <si>
    <t xml:space="preserve">IN2018366752</t>
  </si>
  <si>
    <t xml:space="preserve">2013-01-29</t>
  </si>
  <si>
    <t xml:space="preserve">2035-01-24</t>
  </si>
  <si>
    <t xml:space="preserve">ZTFI-0071</t>
  </si>
  <si>
    <t xml:space="preserve">IN1476797643</t>
  </si>
  <si>
    <t xml:space="preserve">2021-07-29</t>
  </si>
  <si>
    <t xml:space="preserve">2030-07-27</t>
  </si>
  <si>
    <t xml:space="preserve">ZTFI-0072</t>
  </si>
  <si>
    <t xml:space="preserve">IN3690034324</t>
  </si>
  <si>
    <t xml:space="preserve">2024-04-09</t>
  </si>
  <si>
    <t xml:space="preserve">2033-04-07</t>
  </si>
  <si>
    <t xml:space="preserve">ZTFI-0073</t>
  </si>
  <si>
    <t xml:space="preserve">IN8516060715</t>
  </si>
  <si>
    <t xml:space="preserve">2018-06-23</t>
  </si>
  <si>
    <t xml:space="preserve">2056-06-13</t>
  </si>
  <si>
    <t xml:space="preserve">ZTFI-0074</t>
  </si>
  <si>
    <t xml:space="preserve">IN9751613696</t>
  </si>
  <si>
    <t xml:space="preserve">2011-09-21</t>
  </si>
  <si>
    <t xml:space="preserve">2038-09-14</t>
  </si>
  <si>
    <t xml:space="preserve">ZTFI-0075</t>
  </si>
  <si>
    <t xml:space="preserve">IN8355231243</t>
  </si>
  <si>
    <t xml:space="preserve">2016-09-26</t>
  </si>
  <si>
    <t xml:space="preserve">2027-09-24</t>
  </si>
  <si>
    <t xml:space="preserve">ZTFI-0076</t>
  </si>
  <si>
    <t xml:space="preserve">IN9799552717</t>
  </si>
  <si>
    <t xml:space="preserve">2012-10-17</t>
  </si>
  <si>
    <t xml:space="preserve">2033-10-12</t>
  </si>
  <si>
    <t xml:space="preserve">ZTFI-0077</t>
  </si>
  <si>
    <t xml:space="preserve">IN0541199867</t>
  </si>
  <si>
    <t xml:space="preserve">2022-12-27</t>
  </si>
  <si>
    <t xml:space="preserve">2026-12-26</t>
  </si>
  <si>
    <t xml:space="preserve">ZTFI-0078</t>
  </si>
  <si>
    <t xml:space="preserve">IN7151820377</t>
  </si>
  <si>
    <t xml:space="preserve">2020-05-02</t>
  </si>
  <si>
    <t xml:space="preserve">2032-04-29</t>
  </si>
  <si>
    <t xml:space="preserve">ZTFI-0079</t>
  </si>
  <si>
    <t xml:space="preserve">IN5151864492</t>
  </si>
  <si>
    <t xml:space="preserve">2014-09-20</t>
  </si>
  <si>
    <t xml:space="preserve">2053-09-10</t>
  </si>
  <si>
    <t xml:space="preserve">ZTFI-0080</t>
  </si>
  <si>
    <t xml:space="preserve">IN9148652816</t>
  </si>
  <si>
    <t xml:space="preserve">2023-08-11</t>
  </si>
  <si>
    <t xml:space="preserve">2026-08-10</t>
  </si>
  <si>
    <t xml:space="preserve">ZTFI-0081</t>
  </si>
  <si>
    <t xml:space="preserve">IN2214188805</t>
  </si>
  <si>
    <t xml:space="preserve">State of Gujarat</t>
  </si>
  <si>
    <t xml:space="preserve">2034-11-20</t>
  </si>
  <si>
    <t xml:space="preserve">ZTFI-0082</t>
  </si>
  <si>
    <t xml:space="preserve">IN0653794738</t>
  </si>
  <si>
    <t xml:space="preserve">State of AP</t>
  </si>
  <si>
    <t xml:space="preserve">2013-05-12</t>
  </si>
  <si>
    <t xml:space="preserve">2028-05-08</t>
  </si>
  <si>
    <t xml:space="preserve">ZTFI-0083</t>
  </si>
  <si>
    <t xml:space="preserve">IN4688623924</t>
  </si>
  <si>
    <t xml:space="preserve">2016-06-22</t>
  </si>
  <si>
    <t xml:space="preserve">2026-06-20</t>
  </si>
  <si>
    <t xml:space="preserve">ZTFI-0084</t>
  </si>
  <si>
    <t xml:space="preserve">IN1247826137</t>
  </si>
  <si>
    <t xml:space="preserve">State of Rajasthan</t>
  </si>
  <si>
    <t xml:space="preserve">2023-07-04</t>
  </si>
  <si>
    <t xml:space="preserve">2026-07-03</t>
  </si>
  <si>
    <t xml:space="preserve">ZTFI-0085</t>
  </si>
  <si>
    <t xml:space="preserve">IN0515220472</t>
  </si>
  <si>
    <t xml:space="preserve">2020-04-19</t>
  </si>
  <si>
    <t xml:space="preserve">2030-04-17</t>
  </si>
  <si>
    <t xml:space="preserve">ZTFI-0086</t>
  </si>
  <si>
    <t xml:space="preserve">IN1434103697</t>
  </si>
  <si>
    <t xml:space="preserve">State of Kerala</t>
  </si>
  <si>
    <t xml:space="preserve">2018-12-20</t>
  </si>
  <si>
    <t xml:space="preserve">2028-12-17</t>
  </si>
  <si>
    <t xml:space="preserve">ZTFI-0087</t>
  </si>
  <si>
    <t xml:space="preserve">IN0953962185</t>
  </si>
  <si>
    <t xml:space="preserve">2018-11-24</t>
  </si>
  <si>
    <t xml:space="preserve">2029-11-21</t>
  </si>
  <si>
    <t xml:space="preserve">ZTFI-0088</t>
  </si>
  <si>
    <t xml:space="preserve">IN6540515319</t>
  </si>
  <si>
    <t xml:space="preserve">State of Maharashtra</t>
  </si>
  <si>
    <t xml:space="preserve">2023-05-27</t>
  </si>
  <si>
    <t xml:space="preserve">2031-05-25</t>
  </si>
  <si>
    <t xml:space="preserve">ZTFI-0089</t>
  </si>
  <si>
    <t xml:space="preserve">IN2217043030</t>
  </si>
  <si>
    <t xml:space="preserve">2021-03-30</t>
  </si>
  <si>
    <t xml:space="preserve">2028-03-28</t>
  </si>
  <si>
    <t xml:space="preserve">ZTFI-0090</t>
  </si>
  <si>
    <t xml:space="preserve">IN5054156676</t>
  </si>
  <si>
    <t xml:space="preserve">2022-05-09</t>
  </si>
  <si>
    <t xml:space="preserve">2027-05-08</t>
  </si>
  <si>
    <t xml:space="preserve">ZTFI-0091</t>
  </si>
  <si>
    <t xml:space="preserve">IN6928451154</t>
  </si>
  <si>
    <t xml:space="preserve">State of Karnataka</t>
  </si>
  <si>
    <t xml:space="preserve">2016-06-12</t>
  </si>
  <si>
    <t xml:space="preserve">2028-06-09</t>
  </si>
  <si>
    <t xml:space="preserve">ZTFI-0092</t>
  </si>
  <si>
    <t xml:space="preserve">IN4016582029</t>
  </si>
  <si>
    <t xml:space="preserve">2024-01-09</t>
  </si>
  <si>
    <t xml:space="preserve">2034-01-06</t>
  </si>
  <si>
    <t xml:space="preserve">ZTFI-0093</t>
  </si>
  <si>
    <t xml:space="preserve">IN7557192856</t>
  </si>
  <si>
    <t xml:space="preserve">State of Tamil Nadu</t>
  </si>
  <si>
    <t xml:space="preserve">2022-11-02</t>
  </si>
  <si>
    <t xml:space="preserve">2029-10-31</t>
  </si>
  <si>
    <t xml:space="preserve">ZTFI-0094</t>
  </si>
  <si>
    <t xml:space="preserve">IN4739473121</t>
  </si>
  <si>
    <t xml:space="preserve">2018-07-21</t>
  </si>
  <si>
    <t xml:space="preserve">2032-07-17</t>
  </si>
  <si>
    <t xml:space="preserve">ZTFI-0095</t>
  </si>
  <si>
    <t xml:space="preserve">IN8844225831</t>
  </si>
  <si>
    <t xml:space="preserve">2022-05-23</t>
  </si>
  <si>
    <t xml:space="preserve">2037-05-19</t>
  </si>
  <si>
    <t xml:space="preserve">ZTFI-0096</t>
  </si>
  <si>
    <t xml:space="preserve">IN9114678669</t>
  </si>
  <si>
    <t xml:space="preserve">2019-11-04</t>
  </si>
  <si>
    <t xml:space="preserve">2027-11-02</t>
  </si>
  <si>
    <t xml:space="preserve">ZTFI-0097</t>
  </si>
  <si>
    <t xml:space="preserve">IN6801824225</t>
  </si>
  <si>
    <t xml:space="preserve">2022-08-10</t>
  </si>
  <si>
    <t xml:space="preserve">2028-08-08</t>
  </si>
  <si>
    <t xml:space="preserve">ZTFI-0098</t>
  </si>
  <si>
    <t xml:space="preserve">IN4981829922</t>
  </si>
  <si>
    <t xml:space="preserve">2012-08-13</t>
  </si>
  <si>
    <t xml:space="preserve">ZTFI-0099</t>
  </si>
  <si>
    <t xml:space="preserve">IN9439690784</t>
  </si>
  <si>
    <t xml:space="preserve">2021-06-09</t>
  </si>
  <si>
    <t xml:space="preserve">2028-06-07</t>
  </si>
  <si>
    <t xml:space="preserve">ZTFI-0100</t>
  </si>
  <si>
    <t xml:space="preserve">IN7677359255</t>
  </si>
  <si>
    <t xml:space="preserve">2017-07-06</t>
  </si>
  <si>
    <t xml:space="preserve">2025-07-04</t>
  </si>
  <si>
    <t xml:space="preserve">ZTFI-0101</t>
  </si>
  <si>
    <t xml:space="preserve">IN1473210469</t>
  </si>
  <si>
    <t xml:space="preserve">2021-01-30</t>
  </si>
  <si>
    <t xml:space="preserve">2026-01-29</t>
  </si>
  <si>
    <t xml:space="preserve">ZTFI-0102</t>
  </si>
  <si>
    <t xml:space="preserve">IN7470168733</t>
  </si>
  <si>
    <t xml:space="preserve">2024-03-26</t>
  </si>
  <si>
    <t xml:space="preserve">2027-03-26</t>
  </si>
  <si>
    <t xml:space="preserve">ZTFI-0103</t>
  </si>
  <si>
    <t xml:space="preserve">IN6245650609</t>
  </si>
  <si>
    <t xml:space="preserve">2020-06-19</t>
  </si>
  <si>
    <t xml:space="preserve">2028-06-17</t>
  </si>
  <si>
    <t xml:space="preserve">ZTFI-0104</t>
  </si>
  <si>
    <t xml:space="preserve">IN1655852398</t>
  </si>
  <si>
    <t xml:space="preserve">2024-03-30</t>
  </si>
  <si>
    <t xml:space="preserve">2027-03-30</t>
  </si>
  <si>
    <t xml:space="preserve">ZTFI-0105</t>
  </si>
  <si>
    <t xml:space="preserve">IN5952694958</t>
  </si>
  <si>
    <t xml:space="preserve">2019-06-10</t>
  </si>
  <si>
    <t xml:space="preserve">2030-06-07</t>
  </si>
  <si>
    <t xml:space="preserve">ZTFI-0106</t>
  </si>
  <si>
    <t xml:space="preserve">IN9409749930</t>
  </si>
  <si>
    <t xml:space="preserve">2022-03-29</t>
  </si>
  <si>
    <t xml:space="preserve">2027-03-28</t>
  </si>
  <si>
    <t xml:space="preserve">ZTFI-0107</t>
  </si>
  <si>
    <t xml:space="preserve">IN9130756263</t>
  </si>
  <si>
    <t xml:space="preserve">2015-10-12</t>
  </si>
  <si>
    <t xml:space="preserve">2030-10-08</t>
  </si>
  <si>
    <t xml:space="preserve">ZTFI-0108</t>
  </si>
  <si>
    <t xml:space="preserve">IN8578652785</t>
  </si>
  <si>
    <t xml:space="preserve">2015-01-29</t>
  </si>
  <si>
    <t xml:space="preserve">2028-01-26</t>
  </si>
  <si>
    <t xml:space="preserve">ZTFI-0109</t>
  </si>
  <si>
    <t xml:space="preserve">IN3484344375</t>
  </si>
  <si>
    <t xml:space="preserve">2015-01-02</t>
  </si>
  <si>
    <t xml:space="preserve">2025-12-30</t>
  </si>
  <si>
    <t xml:space="preserve">ZTFI-0110</t>
  </si>
  <si>
    <t xml:space="preserve">IN5240415747</t>
  </si>
  <si>
    <t xml:space="preserve">2021-08-16</t>
  </si>
  <si>
    <t xml:space="preserve">2032-08-13</t>
  </si>
  <si>
    <t xml:space="preserve">ZTFI-0111</t>
  </si>
  <si>
    <t xml:space="preserve">IN8330165712</t>
  </si>
  <si>
    <t xml:space="preserve">TCS</t>
  </si>
  <si>
    <t xml:space="preserve">Banking</t>
  </si>
  <si>
    <t xml:space="preserve">AAA</t>
  </si>
  <si>
    <t xml:space="preserve">2015-07-17</t>
  </si>
  <si>
    <t xml:space="preserve">2025-07-14</t>
  </si>
  <si>
    <t xml:space="preserve">ZTFI-0112</t>
  </si>
  <si>
    <t xml:space="preserve">IN0193802620</t>
  </si>
  <si>
    <t xml:space="preserve">SBI</t>
  </si>
  <si>
    <t xml:space="preserve">NBFC</t>
  </si>
  <si>
    <t xml:space="preserve">2018-10-28</t>
  </si>
  <si>
    <t xml:space="preserve">2026-10-26</t>
  </si>
  <si>
    <t xml:space="preserve">ZTFI-0113</t>
  </si>
  <si>
    <t xml:space="preserve">IN7887287431</t>
  </si>
  <si>
    <t xml:space="preserve">2019-02-25</t>
  </si>
  <si>
    <t xml:space="preserve">2028-02-23</t>
  </si>
  <si>
    <t xml:space="preserve">ZTFI-0114</t>
  </si>
  <si>
    <t xml:space="preserve">IN6685161227</t>
  </si>
  <si>
    <t xml:space="preserve">ICICI Bank</t>
  </si>
  <si>
    <t xml:space="preserve">Infrastructure</t>
  </si>
  <si>
    <t xml:space="preserve">2024-04-22</t>
  </si>
  <si>
    <t xml:space="preserve">2029-04-21</t>
  </si>
  <si>
    <t xml:space="preserve">ZTFI-0115</t>
  </si>
  <si>
    <t xml:space="preserve">IN5301742684</t>
  </si>
  <si>
    <t xml:space="preserve">Infosys</t>
  </si>
  <si>
    <t xml:space="preserve">2022-07-01</t>
  </si>
  <si>
    <t xml:space="preserve">2028-06-29</t>
  </si>
  <si>
    <t xml:space="preserve">ZTFI-0116</t>
  </si>
  <si>
    <t xml:space="preserve">IN7833918785</t>
  </si>
  <si>
    <t xml:space="preserve">IRFC</t>
  </si>
  <si>
    <t xml:space="preserve">2024-03-18</t>
  </si>
  <si>
    <t xml:space="preserve">2027-03-18</t>
  </si>
  <si>
    <t xml:space="preserve">ZTFI-0117</t>
  </si>
  <si>
    <t xml:space="preserve">IN3971870728</t>
  </si>
  <si>
    <t xml:space="preserve">HDFC Bank</t>
  </si>
  <si>
    <t xml:space="preserve">2023-10-11</t>
  </si>
  <si>
    <t xml:space="preserve">2025-10-10</t>
  </si>
  <si>
    <t xml:space="preserve">2025-04-20</t>
  </si>
  <si>
    <t xml:space="preserve">ZTFI-0118</t>
  </si>
  <si>
    <t xml:space="preserve">IN8017046226</t>
  </si>
  <si>
    <t xml:space="preserve">2021-03-13</t>
  </si>
  <si>
    <t xml:space="preserve">2029-03-11</t>
  </si>
  <si>
    <t xml:space="preserve">2027-01-04</t>
  </si>
  <si>
    <t xml:space="preserve">ZTFI-0119</t>
  </si>
  <si>
    <t xml:space="preserve">IN3004786863</t>
  </si>
  <si>
    <t xml:space="preserve">NABARD</t>
  </si>
  <si>
    <t xml:space="preserve">2023-05-28</t>
  </si>
  <si>
    <t xml:space="preserve">2030-05-26</t>
  </si>
  <si>
    <t xml:space="preserve">2027-08-12</t>
  </si>
  <si>
    <t xml:space="preserve">ZTFI-0120</t>
  </si>
  <si>
    <t xml:space="preserve">IN0790306738</t>
  </si>
  <si>
    <t xml:space="preserve">2024-03-12</t>
  </si>
  <si>
    <t xml:space="preserve">2026-03-12</t>
  </si>
  <si>
    <t xml:space="preserve">ZTFI-0121</t>
  </si>
  <si>
    <t xml:space="preserve">IN2836440892</t>
  </si>
  <si>
    <t xml:space="preserve">2020-06-12</t>
  </si>
  <si>
    <t xml:space="preserve">2028-06-10</t>
  </si>
  <si>
    <t xml:space="preserve">ZTFI-0122</t>
  </si>
  <si>
    <t xml:space="preserve">IN4628733427</t>
  </si>
  <si>
    <t xml:space="preserve">Bajaj Finance</t>
  </si>
  <si>
    <t xml:space="preserve">2020-08-15</t>
  </si>
  <si>
    <t xml:space="preserve">2030-08-13</t>
  </si>
  <si>
    <t xml:space="preserve">ZTFI-0123</t>
  </si>
  <si>
    <t xml:space="preserve">IN1830469901</t>
  </si>
  <si>
    <t xml:space="preserve">LIC Housing</t>
  </si>
  <si>
    <t xml:space="preserve">2022-05-20</t>
  </si>
  <si>
    <t xml:space="preserve">2032-05-17</t>
  </si>
  <si>
    <t xml:space="preserve">ZTFI-0124</t>
  </si>
  <si>
    <t xml:space="preserve">IN3936385467</t>
  </si>
  <si>
    <t xml:space="preserve">2022-06-27</t>
  </si>
  <si>
    <t xml:space="preserve">2029-06-25</t>
  </si>
  <si>
    <t xml:space="preserve">2027-02-26</t>
  </si>
  <si>
    <t xml:space="preserve">ZTFI-0125</t>
  </si>
  <si>
    <t xml:space="preserve">IN2048996423</t>
  </si>
  <si>
    <t xml:space="preserve">Power Finance Corp</t>
  </si>
  <si>
    <t xml:space="preserve">2020-05-07</t>
  </si>
  <si>
    <t xml:space="preserve">2028-05-05</t>
  </si>
  <si>
    <t xml:space="preserve">ZTFI-0126</t>
  </si>
  <si>
    <t xml:space="preserve">IN7725228728</t>
  </si>
  <si>
    <t xml:space="preserve">2023-10-24</t>
  </si>
  <si>
    <t xml:space="preserve">2025-10-23</t>
  </si>
  <si>
    <t xml:space="preserve">ZTFI-0127</t>
  </si>
  <si>
    <t xml:space="preserve">IN1203875099</t>
  </si>
  <si>
    <t xml:space="preserve">REC Ltd</t>
  </si>
  <si>
    <t xml:space="preserve">2024-03-17</t>
  </si>
  <si>
    <t xml:space="preserve">2033-03-15</t>
  </si>
  <si>
    <t xml:space="preserve">2029-01-05</t>
  </si>
  <si>
    <t xml:space="preserve">ZTFI-0128</t>
  </si>
  <si>
    <t xml:space="preserve">IN1182339845</t>
  </si>
  <si>
    <t xml:space="preserve">NHAI</t>
  </si>
  <si>
    <t xml:space="preserve">2023-10-13</t>
  </si>
  <si>
    <t xml:space="preserve">2031-10-11</t>
  </si>
  <si>
    <t xml:space="preserve">ZTFI-0129</t>
  </si>
  <si>
    <t xml:space="preserve">IN0166687002</t>
  </si>
  <si>
    <t xml:space="preserve">2019-10-28</t>
  </si>
  <si>
    <t xml:space="preserve">2027-10-26</t>
  </si>
  <si>
    <t xml:space="preserve">ZTFI-0130</t>
  </si>
  <si>
    <t xml:space="preserve">IN1489025039</t>
  </si>
  <si>
    <t xml:space="preserve">2017-11-02</t>
  </si>
  <si>
    <t xml:space="preserve">2025-10-31</t>
  </si>
  <si>
    <t xml:space="preserve">ZTFI-0131</t>
  </si>
  <si>
    <t xml:space="preserve">IN2185016315</t>
  </si>
  <si>
    <t xml:space="preserve">2017-07-22</t>
  </si>
  <si>
    <t xml:space="preserve">2025-07-20</t>
  </si>
  <si>
    <t xml:space="preserve">ZTFI-0132</t>
  </si>
  <si>
    <t xml:space="preserve">IN9619431142</t>
  </si>
  <si>
    <t xml:space="preserve">2022-02-12</t>
  </si>
  <si>
    <t xml:space="preserve">2026-02-11</t>
  </si>
  <si>
    <t xml:space="preserve">2025-06-21</t>
  </si>
  <si>
    <t xml:space="preserve">ZTFI-0133</t>
  </si>
  <si>
    <t xml:space="preserve">IN8861015819</t>
  </si>
  <si>
    <t xml:space="preserve">2019-02-26</t>
  </si>
  <si>
    <t xml:space="preserve">2026-02-24</t>
  </si>
  <si>
    <t xml:space="preserve">ZTFI-0134</t>
  </si>
  <si>
    <t xml:space="preserve">IN2622444721</t>
  </si>
  <si>
    <t xml:space="preserve">2022-03-25</t>
  </si>
  <si>
    <t xml:space="preserve">2028-03-23</t>
  </si>
  <si>
    <t xml:space="preserve">ZTFI-0135</t>
  </si>
  <si>
    <t xml:space="preserve">IN2406596575</t>
  </si>
  <si>
    <t xml:space="preserve">2023-06-08</t>
  </si>
  <si>
    <t xml:space="preserve">2027-06-07</t>
  </si>
  <si>
    <t xml:space="preserve">ZTFI-0136</t>
  </si>
  <si>
    <t xml:space="preserve">IN7935646519</t>
  </si>
  <si>
    <t xml:space="preserve">2022-09-19</t>
  </si>
  <si>
    <t xml:space="preserve">2032-09-16</t>
  </si>
  <si>
    <t xml:space="preserve">ZTFI-0137</t>
  </si>
  <si>
    <t xml:space="preserve">IN6724342661</t>
  </si>
  <si>
    <t xml:space="preserve">2019-09-06</t>
  </si>
  <si>
    <t xml:space="preserve">2028-09-03</t>
  </si>
  <si>
    <t xml:space="preserve">ZTFI-0138</t>
  </si>
  <si>
    <t xml:space="preserve">IN5290965610</t>
  </si>
  <si>
    <t xml:space="preserve">2022-04-17</t>
  </si>
  <si>
    <t xml:space="preserve">2027-04-16</t>
  </si>
  <si>
    <t xml:space="preserve">ZTFI-0139</t>
  </si>
  <si>
    <t xml:space="preserve">IN7146112545</t>
  </si>
  <si>
    <t xml:space="preserve">2022-04-02</t>
  </si>
  <si>
    <t xml:space="preserve">2027-04-01</t>
  </si>
  <si>
    <t xml:space="preserve">ZTFI-0140</t>
  </si>
  <si>
    <t xml:space="preserve">IN1051238282</t>
  </si>
  <si>
    <t xml:space="preserve">2017-08-18</t>
  </si>
  <si>
    <t xml:space="preserve">2025-08-16</t>
  </si>
  <si>
    <t xml:space="preserve">ZTFI-0141</t>
  </si>
  <si>
    <t xml:space="preserve">IN3796603341</t>
  </si>
  <si>
    <t xml:space="preserve">2022-08-27</t>
  </si>
  <si>
    <t xml:space="preserve">2032-08-24</t>
  </si>
  <si>
    <t xml:space="preserve">ZTFI-0142</t>
  </si>
  <si>
    <t xml:space="preserve">IN9691557924</t>
  </si>
  <si>
    <t xml:space="preserve">2022-12-28</t>
  </si>
  <si>
    <t xml:space="preserve">2025-12-27</t>
  </si>
  <si>
    <t xml:space="preserve">2025-05-29</t>
  </si>
  <si>
    <t xml:space="preserve">ZTFI-0143</t>
  </si>
  <si>
    <t xml:space="preserve">IN7828274225</t>
  </si>
  <si>
    <t xml:space="preserve">2023-06-21</t>
  </si>
  <si>
    <t xml:space="preserve">2025-06-20</t>
  </si>
  <si>
    <t xml:space="preserve">ZTFI-0144</t>
  </si>
  <si>
    <t xml:space="preserve">IN7677219034</t>
  </si>
  <si>
    <t xml:space="preserve">2022-03-09</t>
  </si>
  <si>
    <t xml:space="preserve">2027-03-08</t>
  </si>
  <si>
    <t xml:space="preserve">ZTFI-0145</t>
  </si>
  <si>
    <t xml:space="preserve">IN4858078361</t>
  </si>
  <si>
    <t xml:space="preserve">2023-02-22</t>
  </si>
  <si>
    <t xml:space="preserve">2028-02-21</t>
  </si>
  <si>
    <t xml:space="preserve">ZTFI-0146</t>
  </si>
  <si>
    <t xml:space="preserve">IN3959629233</t>
  </si>
  <si>
    <t xml:space="preserve">2021-02-21</t>
  </si>
  <si>
    <t xml:space="preserve">2028-02-20</t>
  </si>
  <si>
    <t xml:space="preserve">ZTFI-0147</t>
  </si>
  <si>
    <t xml:space="preserve">IN0422325367</t>
  </si>
  <si>
    <t xml:space="preserve">2027-03-12</t>
  </si>
  <si>
    <t xml:space="preserve">ZTFI-0148</t>
  </si>
  <si>
    <t xml:space="preserve">IN7759017518</t>
  </si>
  <si>
    <t xml:space="preserve">2018-07-26</t>
  </si>
  <si>
    <t xml:space="preserve">2026-07-24</t>
  </si>
  <si>
    <t xml:space="preserve">ZTFI-0149</t>
  </si>
  <si>
    <t xml:space="preserve">IN0017012770</t>
  </si>
  <si>
    <t xml:space="preserve">2022-12-02</t>
  </si>
  <si>
    <t xml:space="preserve">2030-11-30</t>
  </si>
  <si>
    <t xml:space="preserve">ZTFI-0150</t>
  </si>
  <si>
    <t xml:space="preserve">IN5415206436</t>
  </si>
  <si>
    <t xml:space="preserve">2024-05-01</t>
  </si>
  <si>
    <t xml:space="preserve">2027-05-01</t>
  </si>
  <si>
    <t xml:space="preserve">ZTFI-0151</t>
  </si>
  <si>
    <t xml:space="preserve">IN2713611155</t>
  </si>
  <si>
    <t xml:space="preserve">2023-03-10</t>
  </si>
  <si>
    <t xml:space="preserve">2027-03-09</t>
  </si>
  <si>
    <t xml:space="preserve">ZTFI-0152</t>
  </si>
  <si>
    <t xml:space="preserve">IN2753269731</t>
  </si>
  <si>
    <t xml:space="preserve">2022-01-29</t>
  </si>
  <si>
    <t xml:space="preserve">2026-01-28</t>
  </si>
  <si>
    <t xml:space="preserve">ZTFI-0153</t>
  </si>
  <si>
    <t xml:space="preserve">IN3899940438</t>
  </si>
  <si>
    <t xml:space="preserve">2021-05-06</t>
  </si>
  <si>
    <t xml:space="preserve">2026-05-05</t>
  </si>
  <si>
    <t xml:space="preserve">ZTFI-0154</t>
  </si>
  <si>
    <t xml:space="preserve">IN9180552696</t>
  </si>
  <si>
    <t xml:space="preserve">2022-01-18</t>
  </si>
  <si>
    <t xml:space="preserve">2026-01-17</t>
  </si>
  <si>
    <t xml:space="preserve">2025-06-09</t>
  </si>
  <si>
    <t xml:space="preserve">ZTFI-0155</t>
  </si>
  <si>
    <t xml:space="preserve">IN8666188924</t>
  </si>
  <si>
    <t xml:space="preserve">2023-04-25</t>
  </si>
  <si>
    <t xml:space="preserve">2026-04-24</t>
  </si>
  <si>
    <t xml:space="preserve">ZTFI-0156</t>
  </si>
  <si>
    <t xml:space="preserve">IN6303161799</t>
  </si>
  <si>
    <t xml:space="preserve">2023-12-23</t>
  </si>
  <si>
    <t xml:space="preserve">2027-12-22</t>
  </si>
  <si>
    <t xml:space="preserve">ZTFI-0157</t>
  </si>
  <si>
    <t xml:space="preserve">IN2410564814</t>
  </si>
  <si>
    <t xml:space="preserve">2023-05-06</t>
  </si>
  <si>
    <t xml:space="preserve">ZTFI-0158</t>
  </si>
  <si>
    <t xml:space="preserve">IN1380003075</t>
  </si>
  <si>
    <t xml:space="preserve">2023-10-19</t>
  </si>
  <si>
    <t xml:space="preserve">2027-10-18</t>
  </si>
  <si>
    <t xml:space="preserve">ZTFI-0159</t>
  </si>
  <si>
    <t xml:space="preserve">IN6541951802</t>
  </si>
  <si>
    <t xml:space="preserve">2015-07-05</t>
  </si>
  <si>
    <t xml:space="preserve">2025-07-02</t>
  </si>
  <si>
    <t xml:space="preserve">ZTFI-0160</t>
  </si>
  <si>
    <t xml:space="preserve">IN7053494937</t>
  </si>
  <si>
    <t xml:space="preserve">2016-05-10</t>
  </si>
  <si>
    <t xml:space="preserve">2025-05-08</t>
  </si>
  <si>
    <t xml:space="preserve">ZTFI-0161</t>
  </si>
  <si>
    <t xml:space="preserve">IN8505064138</t>
  </si>
  <si>
    <t xml:space="preserve">Tata Motors Finance</t>
  </si>
  <si>
    <t xml:space="preserve">AA+</t>
  </si>
  <si>
    <t xml:space="preserve">2022-05-15</t>
  </si>
  <si>
    <t xml:space="preserve">2027-05-14</t>
  </si>
  <si>
    <t xml:space="preserve">2026-02-05</t>
  </si>
  <si>
    <t xml:space="preserve">ZTFI-0162</t>
  </si>
  <si>
    <t xml:space="preserve">IN2619906234</t>
  </si>
  <si>
    <t xml:space="preserve">L&amp;T Finance</t>
  </si>
  <si>
    <t xml:space="preserve">AA-</t>
  </si>
  <si>
    <t xml:space="preserve">2021-07-23</t>
  </si>
  <si>
    <t xml:space="preserve">2025-07-22</t>
  </si>
  <si>
    <t xml:space="preserve">ZTFI-0163</t>
  </si>
  <si>
    <t xml:space="preserve">IN1212775618</t>
  </si>
  <si>
    <t xml:space="preserve">Muthoot Finance</t>
  </si>
  <si>
    <t xml:space="preserve">2023-06-07</t>
  </si>
  <si>
    <t xml:space="preserve">2026-06-06</t>
  </si>
  <si>
    <t xml:space="preserve">2025-08-18</t>
  </si>
  <si>
    <t xml:space="preserve">ZTFI-0164</t>
  </si>
  <si>
    <t xml:space="preserve">IN3568044206</t>
  </si>
  <si>
    <t xml:space="preserve">2020-08-06</t>
  </si>
  <si>
    <t xml:space="preserve">2026-08-05</t>
  </si>
  <si>
    <t xml:space="preserve">ZTFI-0165</t>
  </si>
  <si>
    <t xml:space="preserve">IN6519941013</t>
  </si>
  <si>
    <t xml:space="preserve">2021-02-05</t>
  </si>
  <si>
    <t xml:space="preserve">2026-02-04</t>
  </si>
  <si>
    <t xml:space="preserve">2025-06-18</t>
  </si>
  <si>
    <t xml:space="preserve">ZTFI-0166</t>
  </si>
  <si>
    <t xml:space="preserve">IN6253244720</t>
  </si>
  <si>
    <t xml:space="preserve">AA</t>
  </si>
  <si>
    <t xml:space="preserve">2023-02-08</t>
  </si>
  <si>
    <t xml:space="preserve">2029-02-06</t>
  </si>
  <si>
    <t xml:space="preserve">ZTFI-0167</t>
  </si>
  <si>
    <t xml:space="preserve">IN8380657875</t>
  </si>
  <si>
    <t xml:space="preserve">Shriram Transport</t>
  </si>
  <si>
    <t xml:space="preserve">2022-09-23</t>
  </si>
  <si>
    <t xml:space="preserve">2028-09-21</t>
  </si>
  <si>
    <t xml:space="preserve">ZTFI-0168</t>
  </si>
  <si>
    <t xml:space="preserve">IN8593213348</t>
  </si>
  <si>
    <t xml:space="preserve">2024-01-01</t>
  </si>
  <si>
    <t xml:space="preserve">2030-12-30</t>
  </si>
  <si>
    <t xml:space="preserve">ZTFI-0169</t>
  </si>
  <si>
    <t xml:space="preserve">IN9559059929</t>
  </si>
  <si>
    <t xml:space="preserve">2022-03-02</t>
  </si>
  <si>
    <t xml:space="preserve">2027-03-01</t>
  </si>
  <si>
    <t xml:space="preserve">ZTFI-0170</t>
  </si>
  <si>
    <t xml:space="preserve">IN2500292185</t>
  </si>
  <si>
    <t xml:space="preserve">2022-03-23</t>
  </si>
  <si>
    <t xml:space="preserve">2026-03-22</t>
  </si>
  <si>
    <t xml:space="preserve">ZTFI-0171</t>
  </si>
  <si>
    <t xml:space="preserve">IN5289539264</t>
  </si>
  <si>
    <t xml:space="preserve">IIFL Finance</t>
  </si>
  <si>
    <t xml:space="preserve">2023-12-15</t>
  </si>
  <si>
    <t xml:space="preserve">2027-12-14</t>
  </si>
  <si>
    <t xml:space="preserve">ZTFI-0172</t>
  </si>
  <si>
    <t xml:space="preserve">IN5939172513</t>
  </si>
  <si>
    <t xml:space="preserve">2023-10-31</t>
  </si>
  <si>
    <t xml:space="preserve">2027-10-30</t>
  </si>
  <si>
    <t xml:space="preserve">ZTFI-0173</t>
  </si>
  <si>
    <t xml:space="preserve">IN3154100676</t>
  </si>
  <si>
    <t xml:space="preserve">Mahindra Finance</t>
  </si>
  <si>
    <t xml:space="preserve">2022-05-13</t>
  </si>
  <si>
    <t xml:space="preserve">2027-05-12</t>
  </si>
  <si>
    <t xml:space="preserve">ZTFI-0174</t>
  </si>
  <si>
    <t xml:space="preserve">IN4054115262</t>
  </si>
  <si>
    <t xml:space="preserve">2019-08-18</t>
  </si>
  <si>
    <t xml:space="preserve">ZTFI-0175</t>
  </si>
  <si>
    <t xml:space="preserve">IN6201533688</t>
  </si>
  <si>
    <t xml:space="preserve">2027-06-10</t>
  </si>
  <si>
    <t xml:space="preserve">ZTFI-0176</t>
  </si>
  <si>
    <t xml:space="preserve">IN4973103241</t>
  </si>
  <si>
    <t xml:space="preserve">Sundaram Finance</t>
  </si>
  <si>
    <t xml:space="preserve">2024-01-10</t>
  </si>
  <si>
    <t xml:space="preserve">2026-01-09</t>
  </si>
  <si>
    <t xml:space="preserve">ZTFI-0177</t>
  </si>
  <si>
    <t xml:space="preserve">IN2704774349</t>
  </si>
  <si>
    <t xml:space="preserve">2020-05-01</t>
  </si>
  <si>
    <t xml:space="preserve">2027-04-30</t>
  </si>
  <si>
    <t xml:space="preserve">ZTFI-0178</t>
  </si>
  <si>
    <t xml:space="preserve">IN6879374160</t>
  </si>
  <si>
    <t xml:space="preserve">2026-05-01</t>
  </si>
  <si>
    <t xml:space="preserve">2025-07-31</t>
  </si>
  <si>
    <t xml:space="preserve">ZTFI-0179</t>
  </si>
  <si>
    <t xml:space="preserve">IN1632945116</t>
  </si>
  <si>
    <t xml:space="preserve">2022-09-15</t>
  </si>
  <si>
    <t xml:space="preserve">2028-09-13</t>
  </si>
  <si>
    <t xml:space="preserve">ZTFI-0180</t>
  </si>
  <si>
    <t xml:space="preserve">IN2299911914</t>
  </si>
  <si>
    <t xml:space="preserve">2021-09-14</t>
  </si>
  <si>
    <t xml:space="preserve">2025-09-13</t>
  </si>
  <si>
    <t xml:space="preserve">ZTFI-0181</t>
  </si>
  <si>
    <t xml:space="preserve">IN9606530745</t>
  </si>
  <si>
    <t xml:space="preserve">2027-05-27</t>
  </si>
  <si>
    <t xml:space="preserve">ZTFI-0182</t>
  </si>
  <si>
    <t xml:space="preserve">IN4691373678</t>
  </si>
  <si>
    <t xml:space="preserve">2023-10-27</t>
  </si>
  <si>
    <t xml:space="preserve">2025-10-26</t>
  </si>
  <si>
    <t xml:space="preserve">ZTFI-0183</t>
  </si>
  <si>
    <t xml:space="preserve">IN3030705345</t>
  </si>
  <si>
    <t xml:space="preserve">2028-05-07</t>
  </si>
  <si>
    <t xml:space="preserve">ZTFI-0184</t>
  </si>
  <si>
    <t xml:space="preserve">IN2414060293</t>
  </si>
  <si>
    <t xml:space="preserve">Cholamandalam</t>
  </si>
  <si>
    <t xml:space="preserve">2022-12-26</t>
  </si>
  <si>
    <t xml:space="preserve">2029-12-24</t>
  </si>
  <si>
    <t xml:space="preserve">ZTFI-0185</t>
  </si>
  <si>
    <t xml:space="preserve">IN2903494466</t>
  </si>
  <si>
    <t xml:space="preserve">2023-04-30</t>
  </si>
  <si>
    <t xml:space="preserve">2028-04-28</t>
  </si>
  <si>
    <t xml:space="preserve">ZTFI-0186</t>
  </si>
  <si>
    <t xml:space="preserve">IN1715454443</t>
  </si>
  <si>
    <t xml:space="preserve">2022-07-15</t>
  </si>
  <si>
    <t xml:space="preserve">ZTFI-0187</t>
  </si>
  <si>
    <t xml:space="preserve">IN4666099353</t>
  </si>
  <si>
    <t xml:space="preserve">2026-08-16</t>
  </si>
  <si>
    <t xml:space="preserve">ZTFI-0188</t>
  </si>
  <si>
    <t xml:space="preserve">IN7248251353</t>
  </si>
  <si>
    <t xml:space="preserve">2023-01-28</t>
  </si>
  <si>
    <t xml:space="preserve">2027-01-27</t>
  </si>
  <si>
    <t xml:space="preserve">ZTFI-0189</t>
  </si>
  <si>
    <t xml:space="preserve">IN3816846022</t>
  </si>
  <si>
    <t xml:space="preserve">2023-02-09</t>
  </si>
  <si>
    <t xml:space="preserve">2027-02-08</t>
  </si>
  <si>
    <t xml:space="preserve">ZTFI-0190</t>
  </si>
  <si>
    <t xml:space="preserve">IN2500743292</t>
  </si>
  <si>
    <t xml:space="preserve">2024-03-16</t>
  </si>
  <si>
    <t xml:space="preserve">2026-03-16</t>
  </si>
  <si>
    <t xml:space="preserve">ZTFI-0191</t>
  </si>
  <si>
    <t xml:space="preserve">IN5830033542</t>
  </si>
  <si>
    <t xml:space="preserve">2021-05-24</t>
  </si>
  <si>
    <t xml:space="preserve">2027-05-23</t>
  </si>
  <si>
    <t xml:space="preserve">ZTFI-0192</t>
  </si>
  <si>
    <t xml:space="preserve">IN2575326033</t>
  </si>
  <si>
    <t xml:space="preserve">2023-11-30</t>
  </si>
  <si>
    <t xml:space="preserve">2026-11-29</t>
  </si>
  <si>
    <t xml:space="preserve">2025-11-14</t>
  </si>
  <si>
    <t xml:space="preserve">ZTFI-0193</t>
  </si>
  <si>
    <t xml:space="preserve">IN1001676184</t>
  </si>
  <si>
    <t xml:space="preserve">2023-12-04</t>
  </si>
  <si>
    <t xml:space="preserve">2026-12-03</t>
  </si>
  <si>
    <t xml:space="preserve">ZTFI-0194</t>
  </si>
  <si>
    <t xml:space="preserve">IN8914117393</t>
  </si>
  <si>
    <t xml:space="preserve">2019-06-22</t>
  </si>
  <si>
    <t xml:space="preserve">ZTFI-0195</t>
  </si>
  <si>
    <t xml:space="preserve">IN0011972181</t>
  </si>
  <si>
    <t xml:space="preserve">2025-06-06</t>
  </si>
  <si>
    <t xml:space="preserve">ZTFI-0196</t>
  </si>
  <si>
    <t xml:space="preserve">IN5611002255</t>
  </si>
  <si>
    <t xml:space="preserve">2022-12-29</t>
  </si>
  <si>
    <t xml:space="preserve">2028-12-27</t>
  </si>
  <si>
    <t xml:space="preserve">ZTFI-0197</t>
  </si>
  <si>
    <t xml:space="preserve">IN7621202169</t>
  </si>
  <si>
    <t xml:space="preserve">2020-12-11</t>
  </si>
  <si>
    <t xml:space="preserve">2026-12-10</t>
  </si>
  <si>
    <t xml:space="preserve">ZTFI-0198</t>
  </si>
  <si>
    <t xml:space="preserve">IN1670145089</t>
  </si>
  <si>
    <t xml:space="preserve">2022-05-19</t>
  </si>
  <si>
    <t xml:space="preserve">2025-05-18</t>
  </si>
  <si>
    <t xml:space="preserve">ZTFI-0199</t>
  </si>
  <si>
    <t xml:space="preserve">IN6289002877</t>
  </si>
  <si>
    <t xml:space="preserve">2023-08-02</t>
  </si>
  <si>
    <t xml:space="preserve">2025-08-01</t>
  </si>
  <si>
    <t xml:space="preserve">2025-03-16</t>
  </si>
  <si>
    <t xml:space="preserve">ZTFI-0200</t>
  </si>
  <si>
    <t xml:space="preserve">IN7751701660</t>
  </si>
  <si>
    <t xml:space="preserve">2023-07-06</t>
  </si>
  <si>
    <t xml:space="preserve">2025-07-05</t>
  </si>
  <si>
    <t xml:space="preserve">ZTFI-0201</t>
  </si>
  <si>
    <t xml:space="preserve">IN3758997571</t>
  </si>
  <si>
    <t xml:space="preserve">Adani Ports</t>
  </si>
  <si>
    <t xml:space="preserve">Energy</t>
  </si>
  <si>
    <t xml:space="preserve">A</t>
  </si>
  <si>
    <t xml:space="preserve">2024-04-30</t>
  </si>
  <si>
    <t xml:space="preserve">ZTFI-0202</t>
  </si>
  <si>
    <t xml:space="preserve">IN6149331637</t>
  </si>
  <si>
    <t xml:space="preserve">Dalmia Bharat</t>
  </si>
  <si>
    <t xml:space="preserve">A+</t>
  </si>
  <si>
    <t xml:space="preserve">2022-11-26</t>
  </si>
  <si>
    <t xml:space="preserve">2025-11-25</t>
  </si>
  <si>
    <t xml:space="preserve">ZTFI-0203</t>
  </si>
  <si>
    <t xml:space="preserve">IN0808697829</t>
  </si>
  <si>
    <t xml:space="preserve">Steel</t>
  </si>
  <si>
    <t xml:space="preserve">2024-02-16</t>
  </si>
  <si>
    <t xml:space="preserve">2027-02-15</t>
  </si>
  <si>
    <t xml:space="preserve">ZTFI-0204</t>
  </si>
  <si>
    <t xml:space="preserve">IN4722698485</t>
  </si>
  <si>
    <t xml:space="preserve">2023-12-07</t>
  </si>
  <si>
    <t xml:space="preserve">2026-12-06</t>
  </si>
  <si>
    <t xml:space="preserve">ZTFI-0205</t>
  </si>
  <si>
    <t xml:space="preserve">IN1587996846</t>
  </si>
  <si>
    <t xml:space="preserve">JM Financial</t>
  </si>
  <si>
    <t xml:space="preserve">2024-04-23</t>
  </si>
  <si>
    <t xml:space="preserve">2026-04-23</t>
  </si>
  <si>
    <t xml:space="preserve">ZTFI-0206</t>
  </si>
  <si>
    <t xml:space="preserve">IN4380571983</t>
  </si>
  <si>
    <t xml:space="preserve">2023-05-21</t>
  </si>
  <si>
    <t xml:space="preserve">2028-05-19</t>
  </si>
  <si>
    <t xml:space="preserve">ZTFI-0207</t>
  </si>
  <si>
    <t xml:space="preserve">IN4397359893</t>
  </si>
  <si>
    <t xml:space="preserve">2023-09-30</t>
  </si>
  <si>
    <t xml:space="preserve">2026-09-29</t>
  </si>
  <si>
    <t xml:space="preserve">ZTFI-0208</t>
  </si>
  <si>
    <t xml:space="preserve">IN8422940572</t>
  </si>
  <si>
    <t xml:space="preserve">Vedanta Ltd</t>
  </si>
  <si>
    <t xml:space="preserve">2022-07-18</t>
  </si>
  <si>
    <t xml:space="preserve">2026-07-17</t>
  </si>
  <si>
    <t xml:space="preserve">ZTFI-0209</t>
  </si>
  <si>
    <t xml:space="preserve">IN8182688615</t>
  </si>
  <si>
    <t xml:space="preserve">2023-01-04</t>
  </si>
  <si>
    <t xml:space="preserve">2026-01-03</t>
  </si>
  <si>
    <t xml:space="preserve">ZTFI-0210</t>
  </si>
  <si>
    <t xml:space="preserve">IN3993056164</t>
  </si>
  <si>
    <t xml:space="preserve">2024-04-05</t>
  </si>
  <si>
    <t xml:space="preserve">2028-04-04</t>
  </si>
  <si>
    <t xml:space="preserve">ZTFI-0211</t>
  </si>
  <si>
    <t xml:space="preserve">IN1128801336</t>
  </si>
  <si>
    <t xml:space="preserve">JSW Steel</t>
  </si>
  <si>
    <t xml:space="preserve">2023-04-05</t>
  </si>
  <si>
    <t xml:space="preserve">2026-04-04</t>
  </si>
  <si>
    <t xml:space="preserve">ZTFI-0212</t>
  </si>
  <si>
    <t xml:space="preserve">IN5011024819</t>
  </si>
  <si>
    <t xml:space="preserve">2023-02-11</t>
  </si>
  <si>
    <t xml:space="preserve">ZTFI-0213</t>
  </si>
  <si>
    <t xml:space="preserve">IN9015814491</t>
  </si>
  <si>
    <t xml:space="preserve">2022-10-23</t>
  </si>
  <si>
    <t xml:space="preserve">2027-10-22</t>
  </si>
  <si>
    <t xml:space="preserve">ZTFI-0214</t>
  </si>
  <si>
    <t xml:space="preserve">IN5088210099</t>
  </si>
  <si>
    <t xml:space="preserve">2026-01-11</t>
  </si>
  <si>
    <t xml:space="preserve">ZTFI-0215</t>
  </si>
  <si>
    <t xml:space="preserve">IN9431290878</t>
  </si>
  <si>
    <t xml:space="preserve">2024-01-31</t>
  </si>
  <si>
    <t xml:space="preserve">2026-01-30</t>
  </si>
  <si>
    <t xml:space="preserve">ZTFI-0216</t>
  </si>
  <si>
    <t xml:space="preserve">IN1357759492</t>
  </si>
  <si>
    <t xml:space="preserve">2021-11-30</t>
  </si>
  <si>
    <t xml:space="preserve">2025-11-29</t>
  </si>
  <si>
    <t xml:space="preserve">ZTFI-0217</t>
  </si>
  <si>
    <t xml:space="preserve">IN5777547812</t>
  </si>
  <si>
    <t xml:space="preserve">2023-06-30</t>
  </si>
  <si>
    <t xml:space="preserve">2025-06-29</t>
  </si>
  <si>
    <t xml:space="preserve">ZTFI-0218</t>
  </si>
  <si>
    <t xml:space="preserve">IN9693084887</t>
  </si>
  <si>
    <t xml:space="preserve">2023-08-09</t>
  </si>
  <si>
    <t xml:space="preserve">2026-08-08</t>
  </si>
  <si>
    <t xml:space="preserve">2025-09-18</t>
  </si>
  <si>
    <t xml:space="preserve">ZTFI-0219</t>
  </si>
  <si>
    <t xml:space="preserve">IN2299275037</t>
  </si>
  <si>
    <t xml:space="preserve">2023-03-24</t>
  </si>
  <si>
    <t xml:space="preserve">2027-03-23</t>
  </si>
  <si>
    <t xml:space="preserve">ZTFI-0220</t>
  </si>
  <si>
    <t xml:space="preserve">IN8449892665</t>
  </si>
  <si>
    <t xml:space="preserve">2023-10-26</t>
  </si>
  <si>
    <t xml:space="preserve">2025-10-25</t>
  </si>
  <si>
    <t xml:space="preserve">ZTFI-0221</t>
  </si>
  <si>
    <t xml:space="preserve">IN9082723184</t>
  </si>
  <si>
    <t xml:space="preserve">US Treasury</t>
  </si>
  <si>
    <t xml:space="preserve">USD</t>
  </si>
  <si>
    <t xml:space="preserve">2023-05-23</t>
  </si>
  <si>
    <t xml:space="preserve">2030-05-21</t>
  </si>
  <si>
    <t xml:space="preserve">USD_BENCH</t>
  </si>
  <si>
    <t xml:space="preserve">ZTFI-0222</t>
  </si>
  <si>
    <t xml:space="preserve">IN1777392603</t>
  </si>
  <si>
    <t xml:space="preserve">2015-10-02</t>
  </si>
  <si>
    <t xml:space="preserve">2035-09-27</t>
  </si>
  <si>
    <t xml:space="preserve">ZTFI-0223</t>
  </si>
  <si>
    <t xml:space="preserve">IN2428699041</t>
  </si>
  <si>
    <t xml:space="preserve">2009-12-13</t>
  </si>
  <si>
    <t xml:space="preserve">2030-12-08</t>
  </si>
  <si>
    <t xml:space="preserve">ZTFI-0224</t>
  </si>
  <si>
    <t xml:space="preserve">IN9298425799</t>
  </si>
  <si>
    <t xml:space="preserve">2019-04-30</t>
  </si>
  <si>
    <t xml:space="preserve">2033-04-26</t>
  </si>
  <si>
    <t xml:space="preserve">ZTFI-0225</t>
  </si>
  <si>
    <t xml:space="preserve">IN2912799088</t>
  </si>
  <si>
    <t xml:space="preserve">2022-11-21</t>
  </si>
  <si>
    <t xml:space="preserve">2026-11-20</t>
  </si>
  <si>
    <t xml:space="preserve">ZTFI-0226</t>
  </si>
  <si>
    <t xml:space="preserve">IN8650863765</t>
  </si>
  <si>
    <t xml:space="preserve">2011-03-07</t>
  </si>
  <si>
    <t xml:space="preserve">2036-02-29</t>
  </si>
  <si>
    <t xml:space="preserve">ZTFI-0227</t>
  </si>
  <si>
    <t xml:space="preserve">IN3149864300</t>
  </si>
  <si>
    <t xml:space="preserve">2022-04-04</t>
  </si>
  <si>
    <t xml:space="preserve">2027-04-03</t>
  </si>
  <si>
    <t xml:space="preserve">ZTFI-0228</t>
  </si>
  <si>
    <t xml:space="preserve">IN1269448695</t>
  </si>
  <si>
    <t xml:space="preserve">2018-07-29</t>
  </si>
  <si>
    <t xml:space="preserve">2041-07-23</t>
  </si>
  <si>
    <t xml:space="preserve">ZTFI-0229</t>
  </si>
  <si>
    <t xml:space="preserve">IN8874495621</t>
  </si>
  <si>
    <t xml:space="preserve">2012-12-26</t>
  </si>
  <si>
    <t xml:space="preserve">2028-12-22</t>
  </si>
  <si>
    <t xml:space="preserve">ZTFI-0230</t>
  </si>
  <si>
    <t xml:space="preserve">IN8902601279</t>
  </si>
  <si>
    <t xml:space="preserve">2023-07-19</t>
  </si>
  <si>
    <t xml:space="preserve">2027-07-18</t>
  </si>
  <si>
    <t xml:space="preserve">ZTFI-0231</t>
  </si>
  <si>
    <t xml:space="preserve">IN9849027703</t>
  </si>
  <si>
    <t xml:space="preserve">2016-10-29</t>
  </si>
  <si>
    <t xml:space="preserve">2043-10-23</t>
  </si>
  <si>
    <t xml:space="preserve">ZTFI-0232</t>
  </si>
  <si>
    <t xml:space="preserve">IN9205302146</t>
  </si>
  <si>
    <t xml:space="preserve">2019-01-25</t>
  </si>
  <si>
    <t xml:space="preserve">2033-01-21</t>
  </si>
  <si>
    <t xml:space="preserve">ZTFI-0233</t>
  </si>
  <si>
    <t xml:space="preserve">IN8489554393</t>
  </si>
  <si>
    <t xml:space="preserve">2016-11-12</t>
  </si>
  <si>
    <t xml:space="preserve">2030-11-09</t>
  </si>
  <si>
    <t xml:space="preserve">ZTFI-0234</t>
  </si>
  <si>
    <t xml:space="preserve">IN5184894769</t>
  </si>
  <si>
    <t xml:space="preserve">2018-04-12</t>
  </si>
  <si>
    <t xml:space="preserve">2027-04-10</t>
  </si>
  <si>
    <t xml:space="preserve">ZTFI-0235</t>
  </si>
  <si>
    <t xml:space="preserve">IN7141633565</t>
  </si>
  <si>
    <t xml:space="preserve">2023-08-20</t>
  </si>
  <si>
    <t xml:space="preserve">2025-08-19</t>
  </si>
  <si>
    <t xml:space="preserve">ZTFI-0236</t>
  </si>
  <si>
    <t xml:space="preserve">IN1827553942</t>
  </si>
  <si>
    <t xml:space="preserve">2010-11-09</t>
  </si>
  <si>
    <t xml:space="preserve">2033-11-03</t>
  </si>
  <si>
    <t xml:space="preserve">ZTFI-0237</t>
  </si>
  <si>
    <t xml:space="preserve">IN3333952111</t>
  </si>
  <si>
    <t xml:space="preserve">2017-03-13</t>
  </si>
  <si>
    <t xml:space="preserve">2040-03-07</t>
  </si>
  <si>
    <t xml:space="preserve">ZTFI-0238</t>
  </si>
  <si>
    <t xml:space="preserve">IN5957947284</t>
  </si>
  <si>
    <t xml:space="preserve">2015-12-24</t>
  </si>
  <si>
    <t xml:space="preserve">2041-12-17</t>
  </si>
  <si>
    <t xml:space="preserve">ZTFI-0239</t>
  </si>
  <si>
    <t xml:space="preserve">IN8562718750</t>
  </si>
  <si>
    <t xml:space="preserve">2021-09-06</t>
  </si>
  <si>
    <t xml:space="preserve">2029-09-04</t>
  </si>
  <si>
    <t xml:space="preserve">ZTFI-0240</t>
  </si>
  <si>
    <t xml:space="preserve">IN3479552763</t>
  </si>
  <si>
    <t xml:space="preserve">2018-12-10</t>
  </si>
  <si>
    <t xml:space="preserve">2044-12-03</t>
  </si>
  <si>
    <t xml:space="preserve">ZTFI-0241</t>
  </si>
  <si>
    <t xml:space="preserve">IN1438663227</t>
  </si>
  <si>
    <t xml:space="preserve">2021-10-22</t>
  </si>
  <si>
    <t xml:space="preserve">2028-10-20</t>
  </si>
  <si>
    <t xml:space="preserve">ZTFI-0242</t>
  </si>
  <si>
    <t xml:space="preserve">IN7448906120</t>
  </si>
  <si>
    <t xml:space="preserve">2020-01-19</t>
  </si>
  <si>
    <t xml:space="preserve">2030-01-16</t>
  </si>
  <si>
    <t xml:space="preserve">ZTFI-0243</t>
  </si>
  <si>
    <t xml:space="preserve">IN8845061593</t>
  </si>
  <si>
    <t xml:space="preserve">2014-12-05</t>
  </si>
  <si>
    <t xml:space="preserve">2036-11-29</t>
  </si>
  <si>
    <t xml:space="preserve">ZTFI-0244</t>
  </si>
  <si>
    <t xml:space="preserve">IN7169472256</t>
  </si>
  <si>
    <t xml:space="preserve">2018-06-21</t>
  </si>
  <si>
    <t xml:space="preserve">2038-06-16</t>
  </si>
  <si>
    <t xml:space="preserve">ZTFI-0245</t>
  </si>
  <si>
    <t xml:space="preserve">IN4496475987</t>
  </si>
  <si>
    <t xml:space="preserve">2019-03-19</t>
  </si>
  <si>
    <t xml:space="preserve">2026-03-17</t>
  </si>
  <si>
    <t xml:space="preserve">ZTFI-0246</t>
  </si>
  <si>
    <t xml:space="preserve">IN3261117800</t>
  </si>
  <si>
    <t xml:space="preserve">2013-04-01</t>
  </si>
  <si>
    <t xml:space="preserve">2031-03-28</t>
  </si>
  <si>
    <t xml:space="preserve">ZTFI-0247</t>
  </si>
  <si>
    <t xml:space="preserve">IN4334722820</t>
  </si>
  <si>
    <t xml:space="preserve">2014-01-07</t>
  </si>
  <si>
    <t xml:space="preserve">ZTFI-0248</t>
  </si>
  <si>
    <t xml:space="preserve">IN8728299796</t>
  </si>
  <si>
    <t xml:space="preserve">2016-08-07</t>
  </si>
  <si>
    <t xml:space="preserve">2038-08-02</t>
  </si>
  <si>
    <t xml:space="preserve">ZTFI-0249</t>
  </si>
  <si>
    <t xml:space="preserve">IN4564240082</t>
  </si>
  <si>
    <t xml:space="preserve">2016-07-31</t>
  </si>
  <si>
    <t xml:space="preserve">2033-07-27</t>
  </si>
  <si>
    <t xml:space="preserve">ZTFI-0250</t>
  </si>
  <si>
    <t xml:space="preserve">IN6493085368</t>
  </si>
  <si>
    <t xml:space="preserve">2023-01-11</t>
  </si>
  <si>
    <t xml:space="preserve">2032-01-09</t>
  </si>
  <si>
    <t xml:space="preserve">ZTFI-0251</t>
  </si>
  <si>
    <t xml:space="preserve">IN6389448463</t>
  </si>
  <si>
    <t xml:space="preserve">UK Gilt</t>
  </si>
  <si>
    <t xml:space="preserve">GBP</t>
  </si>
  <si>
    <t xml:space="preserve">2023-07-08</t>
  </si>
  <si>
    <t xml:space="preserve">2030-07-06</t>
  </si>
  <si>
    <t xml:space="preserve">GBP_BENCH</t>
  </si>
  <si>
    <t xml:space="preserve">ZTFI-0252</t>
  </si>
  <si>
    <t xml:space="preserve">IN3502080214</t>
  </si>
  <si>
    <t xml:space="preserve">2017-12-25</t>
  </si>
  <si>
    <t xml:space="preserve">2041-12-19</t>
  </si>
  <si>
    <t xml:space="preserve">ZTFI-0253</t>
  </si>
  <si>
    <t xml:space="preserve">IN6475705120</t>
  </si>
  <si>
    <t xml:space="preserve">2023-05-29</t>
  </si>
  <si>
    <t xml:space="preserve">2037-05-25</t>
  </si>
  <si>
    <t xml:space="preserve">ZTFI-0254</t>
  </si>
  <si>
    <t xml:space="preserve">IN0136730371</t>
  </si>
  <si>
    <t xml:space="preserve">2021-01-10</t>
  </si>
  <si>
    <t xml:space="preserve">2029-01-08</t>
  </si>
  <si>
    <t xml:space="preserve">ZTFI-0255</t>
  </si>
  <si>
    <t xml:space="preserve">IN8814743503</t>
  </si>
  <si>
    <t xml:space="preserve">2019-04-11</t>
  </si>
  <si>
    <t xml:space="preserve">2028-04-08</t>
  </si>
  <si>
    <t xml:space="preserve">ZTFI-0256</t>
  </si>
  <si>
    <t xml:space="preserve">IN3009792513</t>
  </si>
  <si>
    <t xml:space="preserve">2022-04-12</t>
  </si>
  <si>
    <t xml:space="preserve">2026-04-11</t>
  </si>
  <si>
    <t xml:space="preserve">ZTFI-0257</t>
  </si>
  <si>
    <t xml:space="preserve">IN8127358573</t>
  </si>
  <si>
    <t xml:space="preserve">2033-09-02</t>
  </si>
  <si>
    <t xml:space="preserve">ZTFI-0258</t>
  </si>
  <si>
    <t xml:space="preserve">IN8739285574</t>
  </si>
  <si>
    <t xml:space="preserve">2011-01-31</t>
  </si>
  <si>
    <t xml:space="preserve">2032-01-26</t>
  </si>
  <si>
    <t xml:space="preserve">ZTFI-0259</t>
  </si>
  <si>
    <t xml:space="preserve">IN8570862095</t>
  </si>
  <si>
    <t xml:space="preserve">2021-10-09</t>
  </si>
  <si>
    <t xml:space="preserve">2030-10-07</t>
  </si>
  <si>
    <t xml:space="preserve">ZTFI-0260</t>
  </si>
  <si>
    <t xml:space="preserve">IN8294565118</t>
  </si>
  <si>
    <t xml:space="preserve">2022-08-31</t>
  </si>
  <si>
    <t xml:space="preserve">2025-08-30</t>
  </si>
  <si>
    <t xml:space="preserve">ZTFI-0261</t>
  </si>
  <si>
    <t xml:space="preserve">IN1096789940</t>
  </si>
  <si>
    <t xml:space="preserve">2013-12-07</t>
  </si>
  <si>
    <t xml:space="preserve">2034-12-02</t>
  </si>
  <si>
    <t xml:space="preserve">ZTFI-0262</t>
  </si>
  <si>
    <t xml:space="preserve">IN7058650948</t>
  </si>
  <si>
    <t xml:space="preserve">2021-10-31</t>
  </si>
  <si>
    <t xml:space="preserve">2025-10-30</t>
  </si>
  <si>
    <t xml:space="preserve">ZTFI-0263</t>
  </si>
  <si>
    <t xml:space="preserve">IN8633839288</t>
  </si>
  <si>
    <t xml:space="preserve">2021-04-09</t>
  </si>
  <si>
    <t xml:space="preserve">2026-04-08</t>
  </si>
  <si>
    <t xml:space="preserve">ZTFI-0264</t>
  </si>
  <si>
    <t xml:space="preserve">IN2286852897</t>
  </si>
  <si>
    <t xml:space="preserve">2019-10-08</t>
  </si>
  <si>
    <t xml:space="preserve">2049-09-30</t>
  </si>
  <si>
    <t xml:space="preserve">ZTFI-0265</t>
  </si>
  <si>
    <t xml:space="preserve">IN5939836845</t>
  </si>
  <si>
    <t xml:space="preserve">2010-06-05</t>
  </si>
  <si>
    <t xml:space="preserve">2026-06-01</t>
  </si>
  <si>
    <t xml:space="preserve">ZTFI-0266</t>
  </si>
  <si>
    <t xml:space="preserve">IN4043350488</t>
  </si>
  <si>
    <t xml:space="preserve">German Bund</t>
  </si>
  <si>
    <t xml:space="preserve">EUR</t>
  </si>
  <si>
    <t xml:space="preserve">2022-02-03</t>
  </si>
  <si>
    <t xml:space="preserve">2042-01-29</t>
  </si>
  <si>
    <t xml:space="preserve">EUR_BENCH</t>
  </si>
  <si>
    <t xml:space="preserve">ZTFI-0267</t>
  </si>
  <si>
    <t xml:space="preserve">IN3441969315</t>
  </si>
  <si>
    <t xml:space="preserve">2021-05-29</t>
  </si>
  <si>
    <t xml:space="preserve">2028-05-27</t>
  </si>
  <si>
    <t xml:space="preserve">ZTFI-0268</t>
  </si>
  <si>
    <t xml:space="preserve">IN0961055661</t>
  </si>
  <si>
    <t xml:space="preserve">2018-05-11</t>
  </si>
  <si>
    <t xml:space="preserve">2027-05-09</t>
  </si>
  <si>
    <t xml:space="preserve">ZTFI-0269</t>
  </si>
  <si>
    <t xml:space="preserve">IN4805892583</t>
  </si>
  <si>
    <t xml:space="preserve">2013-09-25</t>
  </si>
  <si>
    <t xml:space="preserve">2036-09-19</t>
  </si>
  <si>
    <t xml:space="preserve">ZTFI-0270</t>
  </si>
  <si>
    <t xml:space="preserve">IN3646225179</t>
  </si>
  <si>
    <t xml:space="preserve">2018-07-20</t>
  </si>
  <si>
    <t xml:space="preserve">2037-07-15</t>
  </si>
  <si>
    <t xml:space="preserve">ZTFI-0271</t>
  </si>
  <si>
    <t xml:space="preserve">IN7837693898</t>
  </si>
  <si>
    <t xml:space="preserve">2023-07-15</t>
  </si>
  <si>
    <t xml:space="preserve">2027-07-14</t>
  </si>
  <si>
    <t xml:space="preserve">ZTFI-0272</t>
  </si>
  <si>
    <t xml:space="preserve">IN6553559042</t>
  </si>
  <si>
    <t xml:space="preserve">2012-06-06</t>
  </si>
  <si>
    <t xml:space="preserve">2033-06-01</t>
  </si>
  <si>
    <t xml:space="preserve">ZTFI-0273</t>
  </si>
  <si>
    <t xml:space="preserve">IN3521103924</t>
  </si>
  <si>
    <t xml:space="preserve">2012-09-05</t>
  </si>
  <si>
    <t xml:space="preserve">2036-08-30</t>
  </si>
  <si>
    <t xml:space="preserve">ZTFI-0274</t>
  </si>
  <si>
    <t xml:space="preserve">IN3884879206</t>
  </si>
  <si>
    <t xml:space="preserve">2016-09-13</t>
  </si>
  <si>
    <t xml:space="preserve">2039-09-08</t>
  </si>
  <si>
    <t xml:space="preserve">ZTFI-0275</t>
  </si>
  <si>
    <t xml:space="preserve">IN0701645104</t>
  </si>
  <si>
    <t xml:space="preserve">2018-09-25</t>
  </si>
  <si>
    <t xml:space="preserve">2040-09-19</t>
  </si>
  <si>
    <t xml:space="preserve">ZTFI-0276</t>
  </si>
  <si>
    <t xml:space="preserve">IN7981238780</t>
  </si>
  <si>
    <t xml:space="preserve">2019-12-01</t>
  </si>
  <si>
    <t xml:space="preserve">2037-11-26</t>
  </si>
  <si>
    <t xml:space="preserve">ZTFI-0277</t>
  </si>
  <si>
    <t xml:space="preserve">IN5438404608</t>
  </si>
  <si>
    <t xml:space="preserve">2023-02-14</t>
  </si>
  <si>
    <t xml:space="preserve">2032-02-12</t>
  </si>
  <si>
    <t xml:space="preserve">ZTFI-0278</t>
  </si>
  <si>
    <t xml:space="preserve">IN6392649578</t>
  </si>
  <si>
    <t xml:space="preserve">2022-04-30</t>
  </si>
  <si>
    <t xml:space="preserve">2044-04-24</t>
  </si>
  <si>
    <t xml:space="preserve">ZTFI-0279</t>
  </si>
  <si>
    <t xml:space="preserve">IN6292518812</t>
  </si>
  <si>
    <t xml:space="preserve">2022-03-24</t>
  </si>
  <si>
    <t xml:space="preserve">2052-03-16</t>
  </si>
  <si>
    <t xml:space="preserve">ZTFI-0280</t>
  </si>
  <si>
    <t xml:space="preserve">IN4742312209</t>
  </si>
  <si>
    <t xml:space="preserve">2016-02-13</t>
  </si>
  <si>
    <t xml:space="preserve">2037-02-07</t>
  </si>
  <si>
    <t xml:space="preserve">ZTFI-0281</t>
  </si>
  <si>
    <t xml:space="preserve">IN7289752677</t>
  </si>
  <si>
    <t xml:space="preserve">Japan JGB</t>
  </si>
  <si>
    <t xml:space="preserve">JPY</t>
  </si>
  <si>
    <t xml:space="preserve">2022-10-02</t>
  </si>
  <si>
    <t xml:space="preserve">2030-09-30</t>
  </si>
  <si>
    <t xml:space="preserve">JPY_BENCH</t>
  </si>
  <si>
    <t xml:space="preserve">ZTFI-0282</t>
  </si>
  <si>
    <t xml:space="preserve">IN3312797573</t>
  </si>
  <si>
    <t xml:space="preserve">2023-09-24</t>
  </si>
  <si>
    <t xml:space="preserve">2049-09-17</t>
  </si>
  <si>
    <t xml:space="preserve">ZTFI-0283</t>
  </si>
  <si>
    <t xml:space="preserve">IN8177038860</t>
  </si>
  <si>
    <t xml:space="preserve">2013-03-31</t>
  </si>
  <si>
    <t xml:space="preserve">2031-03-27</t>
  </si>
  <si>
    <t xml:space="preserve">ZTFI-0284</t>
  </si>
  <si>
    <t xml:space="preserve">IN4726490827</t>
  </si>
  <si>
    <t xml:space="preserve">2023-01-09</t>
  </si>
  <si>
    <t xml:space="preserve">2039-01-05</t>
  </si>
  <si>
    <t xml:space="preserve">ZTFI-0285</t>
  </si>
  <si>
    <t xml:space="preserve">IN6657027937</t>
  </si>
  <si>
    <t xml:space="preserve">2016-09-24</t>
  </si>
  <si>
    <t xml:space="preserve">ZTFI-0286</t>
  </si>
  <si>
    <t xml:space="preserve">IN1751868926</t>
  </si>
  <si>
    <t xml:space="preserve">2022-10-19</t>
  </si>
  <si>
    <t xml:space="preserve">2025-10-18</t>
  </si>
  <si>
    <t xml:space="preserve">ZTFI-0287</t>
  </si>
  <si>
    <t xml:space="preserve">IN2206447421</t>
  </si>
  <si>
    <t xml:space="preserve">2032-04-21</t>
  </si>
  <si>
    <t xml:space="preserve">ZTFI-0288</t>
  </si>
  <si>
    <t xml:space="preserve">IN9733977671</t>
  </si>
  <si>
    <t xml:space="preserve">2024-02-03</t>
  </si>
  <si>
    <t xml:space="preserve">2026-02-02</t>
  </si>
  <si>
    <t xml:space="preserve">ZTFI-0289</t>
  </si>
  <si>
    <t xml:space="preserve">IN0220502099</t>
  </si>
  <si>
    <t xml:space="preserve">2024-03-09</t>
  </si>
  <si>
    <t xml:space="preserve">2028-03-08</t>
  </si>
  <si>
    <t xml:space="preserve">ZTFI-0290</t>
  </si>
  <si>
    <t xml:space="preserve">IN7950145561</t>
  </si>
  <si>
    <t xml:space="preserve">2016-05-11</t>
  </si>
  <si>
    <t xml:space="preserve">2044-05-04</t>
  </si>
  <si>
    <t xml:space="preserve">ZTFI-0291</t>
  </si>
  <si>
    <t xml:space="preserve">IN8683390198</t>
  </si>
  <si>
    <t xml:space="preserve">Australian Govt</t>
  </si>
  <si>
    <t xml:space="preserve">AUD</t>
  </si>
  <si>
    <t xml:space="preserve">2018-07-19</t>
  </si>
  <si>
    <t xml:space="preserve">2027-07-17</t>
  </si>
  <si>
    <t xml:space="preserve">AUD_BENCH</t>
  </si>
  <si>
    <t xml:space="preserve">ZTFI-0292</t>
  </si>
  <si>
    <t xml:space="preserve">IN4899529978</t>
  </si>
  <si>
    <t xml:space="preserve">2020-05-25</t>
  </si>
  <si>
    <t xml:space="preserve">2029-05-23</t>
  </si>
  <si>
    <t xml:space="preserve">ZTFI-0293</t>
  </si>
  <si>
    <t xml:space="preserve">IN0107139660</t>
  </si>
  <si>
    <t xml:space="preserve">2017-01-31</t>
  </si>
  <si>
    <t xml:space="preserve">2027-01-29</t>
  </si>
  <si>
    <t xml:space="preserve">ZTFI-0294</t>
  </si>
  <si>
    <t xml:space="preserve">IN4488501556</t>
  </si>
  <si>
    <t xml:space="preserve">2014-09-28</t>
  </si>
  <si>
    <t xml:space="preserve">2025-09-25</t>
  </si>
  <si>
    <t xml:space="preserve">ZTFI-0295</t>
  </si>
  <si>
    <t xml:space="preserve">IN7027278576</t>
  </si>
  <si>
    <t xml:space="preserve">2023-07-02</t>
  </si>
  <si>
    <t xml:space="preserve">2025-07-01</t>
  </si>
  <si>
    <t xml:space="preserve">ZTFI-0296</t>
  </si>
  <si>
    <t xml:space="preserve">IN3955124056</t>
  </si>
  <si>
    <t xml:space="preserve">2022-01-05</t>
  </si>
  <si>
    <t xml:space="preserve">2037-01-01</t>
  </si>
  <si>
    <t xml:space="preserve">ZTFI-0297</t>
  </si>
  <si>
    <t xml:space="preserve">IN5046173574</t>
  </si>
  <si>
    <t xml:space="preserve">2023-06-18</t>
  </si>
  <si>
    <t xml:space="preserve">2029-06-16</t>
  </si>
  <si>
    <t xml:space="preserve">ZTFI-0298</t>
  </si>
  <si>
    <t xml:space="preserve">IN8078235784</t>
  </si>
  <si>
    <t xml:space="preserve">2022-01-10</t>
  </si>
  <si>
    <t xml:space="preserve">ZTFI-0299</t>
  </si>
  <si>
    <t xml:space="preserve">IN7681040915</t>
  </si>
  <si>
    <t xml:space="preserve">2024-03-25</t>
  </si>
  <si>
    <t xml:space="preserve">2026-03-25</t>
  </si>
  <si>
    <t xml:space="preserve">ZTFI-0300</t>
  </si>
  <si>
    <t xml:space="preserve">IN3533448571</t>
  </si>
  <si>
    <t xml:space="preserve">2023-07-07</t>
  </si>
  <si>
    <t xml:space="preserve">2027-07-06</t>
  </si>
  <si>
    <t xml:space="preserve">Bond Portfolio Convexity Sensitivity — Risk Summary</t>
  </si>
  <si>
    <t xml:space="preserve">All KPIs are live formulas referencing Bond_Data — recalculates if source data changes</t>
  </si>
  <si>
    <t xml:space="preserve">Key Risk Indicators</t>
  </si>
  <si>
    <t xml:space="preserve">Total Market Value (INR)</t>
  </si>
  <si>
    <t xml:space="preserve">Number of Bonds</t>
  </si>
  <si>
    <t xml:space="preserve">Portfolio Modified Duration (yrs)</t>
  </si>
  <si>
    <t xml:space="preserve">Portfolio Macaulay Duration (yrs)</t>
  </si>
  <si>
    <t xml:space="preserve">Portfolio Convexity</t>
  </si>
  <si>
    <t xml:space="preserve">Portfolio DV01 (INR / 1bp)</t>
  </si>
  <si>
    <t xml:space="preserve">Portfolio Yield to Maturity (wtd, %)</t>
  </si>
  <si>
    <t xml:space="preserve">Parallel Shift Price Sensitivity (Duration + Convexity Approximation)</t>
  </si>
  <si>
    <t xml:space="preserve">Shift (bps)</t>
  </si>
  <si>
    <t xml:space="preserve">Est. Price Change (%)</t>
  </si>
  <si>
    <t xml:space="preserve">Est. P&amp;L (INR)</t>
  </si>
  <si>
    <t xml:space="preserve">Key-Rate Bucket Exposure (formula-driven via SUMIFS)</t>
  </si>
  <si>
    <t xml:space="preserve">Bucket</t>
  </si>
  <si>
    <t xml:space="preserve">Market Value (INR)</t>
  </si>
  <si>
    <t xml:space="preserve">Weight (%)</t>
  </si>
  <si>
    <t xml:space="preserve">Wtd. Avg Duration</t>
  </si>
  <si>
    <t xml:space="preserve">Wtd. Avg Convexity</t>
  </si>
  <si>
    <t xml:space="preserve">ScenarioID</t>
  </si>
  <si>
    <t xml:space="preserve">ParallelShift_bps</t>
  </si>
  <si>
    <t xml:space="preserve">TwistFactor_bps</t>
  </si>
  <si>
    <t xml:space="preserve">ButterflyFactor_bps</t>
  </si>
  <si>
    <t xml:space="preserve">PnL_DurationEffect_INR</t>
  </si>
  <si>
    <t xml:space="preserve">PnL_ConvexityEffect_INR</t>
  </si>
  <si>
    <t xml:space="preserve">PnL_Total_INR</t>
  </si>
  <si>
    <t xml:space="preserve">PnL_Pct</t>
  </si>
  <si>
    <t xml:space="preserve">VaR_Contribution</t>
  </si>
  <si>
    <t xml:space="preserve">Monte Carlo VaR / CVaR Analysis (1,000 simulated scenarios)</t>
  </si>
  <si>
    <t xml:space="preserve">Confidence Level</t>
  </si>
  <si>
    <t xml:space="preserve">VaR (INR)</t>
  </si>
  <si>
    <t xml:space="preserve">VaR (%)</t>
  </si>
  <si>
    <t xml:space="preserve">CVaR / Expected Shortfall (INR)</t>
  </si>
  <si>
    <t xml:space="preserve">CVaR (%)</t>
  </si>
  <si>
    <t xml:space="preserve">Distribution Stats</t>
  </si>
  <si>
    <t xml:space="preserve">Mean P&amp;L (INR)</t>
  </si>
  <si>
    <t xml:space="preserve">Std Dev P&amp;L (INR)</t>
  </si>
  <si>
    <t xml:space="preserve">Min P&amp;L (INR)</t>
  </si>
  <si>
    <t xml:space="preserve">Max P&amp;L (INR)</t>
  </si>
  <si>
    <t xml:space="preserve">Skewness</t>
  </si>
  <si>
    <t xml:space="preserve">Kurtosis</t>
  </si>
  <si>
    <t xml:space="preserve">Sector &amp; Credit Rating Concentration</t>
  </si>
  <si>
    <t xml:space="preserve">Wtd Avg Duration</t>
  </si>
  <si>
    <t xml:space="preserve">Wtd Avg OAS (bps)</t>
  </si>
  <si>
    <t xml:space="preserve">Power BI Data Model — DAX Measures Reference</t>
  </si>
  <si>
    <t xml:space="preserve">Copy these measures into a Power BI model built on Bond_Data and Scenario_Data tables.</t>
  </si>
  <si>
    <t xml:space="preserve">Total Market Value</t>
  </si>
  <si>
    <t xml:space="preserve">Total MV = SUM(Bond_Data[MarketValue_INR])</t>
  </si>
  <si>
    <t xml:space="preserve">Portfolio Modified Duration</t>
  </si>
  <si>
    <t xml:space="preserve">Port Modified Duration =
SUMX(Bond_Data, Bond_Data[MarketValue_INR] * Bond_Data[ModifiedDuration])
/ [Total MV]</t>
  </si>
  <si>
    <t xml:space="preserve">Port Convexity =
SUMX(Bond_Data, Bond_Data[MarketValue_INR] * Bond_Data[Convexity])
/ [Total MV]</t>
  </si>
  <si>
    <t xml:space="preserve">Portfolio DV01</t>
  </si>
  <si>
    <t xml:space="preserve">Port DV01 =
SUMX(Bond_Data, Bond_Data[DV01_Per100Face] * Bond_Data[Quantity] / 100)</t>
  </si>
  <si>
    <t xml:space="preserve">Weighted YTM</t>
  </si>
  <si>
    <t xml:space="preserve">Wtd YTM =
SUMX(Bond_Data, Bond_Data[MarketValue_INR] * Bond_Data[YieldToMaturity]) / [Total MV]</t>
  </si>
  <si>
    <t xml:space="preserve">Est. Price Change % (parametrized shift)</t>
  </si>
  <si>
    <t xml:space="preserve">Est Price Change % =
VAR dy = SELECTEDVALUE('Rate Shift'[Shift_bps], 0) / 10000
RETURN
  ( -[Port Modified Duration] * dy + 0.5 * [Port Convexity] * dy^2 ) * 100</t>
  </si>
  <si>
    <t xml:space="preserve">Est. P&amp;L (INR) for selected shift</t>
  </si>
  <si>
    <t xml:space="preserve">Est PnL INR = [Est Price Change %] / 100 * [Total MV]</t>
  </si>
  <si>
    <t xml:space="preserve">Duration Contribution by Bucket</t>
  </si>
  <si>
    <t xml:space="preserve">Bucket Duration Contribution =
SUMX(Bond_Data, Bond_Data[MarketValue_INR] * Bond_Data[ModifiedDuration]) / [Total MV]
-- Place KeyRateBucket on rows for a matrix visual</t>
  </si>
  <si>
    <t xml:space="preserve">Monte Carlo VaR 95%</t>
  </si>
  <si>
    <t xml:space="preserve">VaR 95% =
VAR SortedPnL = Scenario_Data[PnL_Total_INR]
RETURN
  -PERCENTILEX.INC(Scenario_Data, Scenario_Data[PnL_Total_INR], 0.05)</t>
  </si>
  <si>
    <t xml:space="preserve">Monte Carlo CVaR 95% (Expected Shortfall)</t>
  </si>
  <si>
    <t xml:space="preserve">CVaR 95% =
VAR Threshold = -[VaR 95%]
RETURN
  -AVERAGEX(FILTER(Scenario_Data, Scenario_Data[PnL_Total_INR] &lt;= Threshold), Scenario_Data[PnL_Total_INR])</t>
  </si>
  <si>
    <t xml:space="preserve">Sector Weight %</t>
  </si>
  <si>
    <t xml:space="preserve">Sector Weight % = DIVIDE([Total MV], CALCULATE([Total MV], ALL(Bond_Data)))</t>
  </si>
  <si>
    <t xml:space="preserve">Duration Bucket Flag (for KRD ladder visual)</t>
  </si>
  <si>
    <t xml:space="preserve">Duration Bucket = 
SWITCH(TRUE(),
  Bond_Data[YearsToMaturity]&lt;=1, "0-1Y",
  Bond_Data[YearsToMaturity]&lt;=2, "1-2Y",
  Bond_Data[YearsToMaturity]&lt;=3, "2-3Y",
  Bond_Data[YearsToMaturity]&lt;=5, "3-5Y",
  Bond_Data[YearsToMaturity]&lt;=7, "5-7Y",
  Bond_Data[YearsToMaturity]&lt;=10, "7-10Y",
  Bond_Data[YearsToMaturity]&lt;=15, "10-15Y",
  Bond_Data[YearsToMaturity]&lt;=20, "15-20Y",
  "20Y+")</t>
  </si>
  <si>
    <t xml:space="preserve">Suggested Power BI Report Pages</t>
  </si>
  <si>
    <t xml:space="preserve">1. Executive Risk Summary — KPI cards (Duration, Convexity, DV01, VaR) + trend of yield curve</t>
  </si>
  <si>
    <t xml:space="preserve">2. Key-Rate Duration Ladder — matrix/bar chart of Duration Contribution by KeyRateBucket, slicer on Sector/Rating</t>
  </si>
  <si>
    <t xml:space="preserve">3. Monte Carlo Stress Lab — histogram of PnL_Total_INR, VaR/CVaR cards, scatter of ParallelShift vs PnL</t>
  </si>
  <si>
    <t xml:space="preserve">4. Sector &amp; Credit Concentration — treemap of MarketValue by Sector/Rating, avg duration/OAS by sector</t>
  </si>
  <si>
    <t xml:space="preserve">5. What-If Rate Shift Simulator — 'Rate Shift' disconnected table + slicer driving Est PnL INR measure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</si>
</sst>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#,##0"/>
    <numFmt numFmtId="167" formatCode="0"/>
    <numFmt numFmtId="168" formatCode="0.0000"/>
    <numFmt numFmtId="169" formatCode="0.000"/>
    <numFmt numFmtId="170" formatCode="0.00"/>
    <numFmt numFmtId="171" formatCode="0%"/>
    <numFmt numFmtId="172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1F4E5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Estimated Price Change by Parallel Shift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Portfolio_Summary!C15</c:f>
              <c:strCache>
                <c:ptCount val="1"/>
                <c:pt idx="0">
                  <c:v>Est. Price Change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Portfolio_Summary!$B$16:$B$23</c:f>
              <c:strCache>
                <c:ptCount val="8"/>
                <c:pt idx="0">
                  <c:v>-200</c:v>
                </c:pt>
                <c:pt idx="1">
                  <c:v>-100</c:v>
                </c:pt>
                <c:pt idx="2">
                  <c:v>-50</c:v>
                </c:pt>
                <c:pt idx="3">
                  <c:v>-25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</c:strCache>
            </c:strRef>
          </c:cat>
          <c:val>
            <c:numRef>
              <c:f>Portfolio_Summary!$C$16:$C$23</c:f>
              <c:numCache>
                <c:formatCode>0.000</c:formatCode>
                <c:ptCount val="8"/>
                <c:pt idx="0">
                  <c:v>9.2874793020951</c:v>
                </c:pt>
                <c:pt idx="1">
                  <c:v>4.4234336551899</c:v>
                </c:pt>
                <c:pt idx="2">
                  <c:v>2.15664032863054</c:v>
                </c:pt>
                <c:pt idx="3">
                  <c:v>1.06455103957417</c:v>
                </c:pt>
                <c:pt idx="4">
                  <c:v>-1.03701279009196</c:v>
                </c:pt>
                <c:pt idx="5">
                  <c:v>-2.04648733070171</c:v>
                </c:pt>
                <c:pt idx="6">
                  <c:v>-3.98282166347461</c:v>
                </c:pt>
                <c:pt idx="7">
                  <c:v>-7.52503133523392</c:v>
                </c:pt>
              </c:numCache>
            </c:numRef>
          </c:val>
        </c:ser>
        <c:gapWidth val="150"/>
        <c:overlap val="0"/>
        <c:axId val="91912711"/>
        <c:axId val="52227593"/>
      </c:barChart>
      <c:catAx>
        <c:axId val="919127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Shift (bps)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27593"/>
        <c:crosses val="autoZero"/>
        <c:auto val="1"/>
        <c:lblAlgn val="ctr"/>
        <c:lblOffset val="100"/>
        <c:noMultiLvlLbl val="0"/>
      </c:catAx>
      <c:valAx>
        <c:axId val="52227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Price Change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127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Value by Key-Rate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Bucket_Exposure!C4</c:f>
              <c:strCache>
                <c:ptCount val="1"/>
                <c:pt idx="0">
                  <c:v>Market Value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Bucket_Exposure!$B$5:$B$13</c:f>
              <c:strCache>
                <c:ptCount val="9"/>
                <c:pt idx="0">
                  <c:v>0-1Y</c:v>
                </c:pt>
                <c:pt idx="1">
                  <c:v>1-2Y</c:v>
                </c:pt>
                <c:pt idx="2">
                  <c:v>2-3Y</c:v>
                </c:pt>
                <c:pt idx="3">
                  <c:v>3-5Y</c:v>
                </c:pt>
                <c:pt idx="4">
                  <c:v>5-7Y</c:v>
                </c:pt>
                <c:pt idx="5">
                  <c:v>7-10Y</c:v>
                </c:pt>
                <c:pt idx="6">
                  <c:v>10-15Y</c:v>
                </c:pt>
                <c:pt idx="7">
                  <c:v>15-20Y</c:v>
                </c:pt>
                <c:pt idx="8">
                  <c:v>20Y+</c:v>
                </c:pt>
              </c:strCache>
            </c:strRef>
          </c:cat>
          <c:val>
            <c:numRef>
              <c:f>Bucket_Exposure!$C$5:$C$13</c:f>
              <c:numCache>
                <c:formatCode>#,##0</c:formatCode>
                <c:ptCount val="9"/>
                <c:pt idx="0">
                  <c:v>3014988.43</c:v>
                </c:pt>
                <c:pt idx="1">
                  <c:v>6162504.16</c:v>
                </c:pt>
                <c:pt idx="2">
                  <c:v>6913492.41</c:v>
                </c:pt>
                <c:pt idx="3">
                  <c:v>4701036.7</c:v>
                </c:pt>
                <c:pt idx="4">
                  <c:v>2713024.65</c:v>
                </c:pt>
                <c:pt idx="5">
                  <c:v>2256810.99</c:v>
                </c:pt>
                <c:pt idx="6">
                  <c:v>1944555.03</c:v>
                </c:pt>
                <c:pt idx="7">
                  <c:v>2541586.96</c:v>
                </c:pt>
                <c:pt idx="8">
                  <c:v>1811346.64</c:v>
                </c:pt>
              </c:numCache>
            </c:numRef>
          </c:val>
        </c:ser>
        <c:gapWidth val="150"/>
        <c:overlap val="0"/>
        <c:axId val="81861209"/>
        <c:axId val="62171228"/>
      </c:barChart>
      <c:catAx>
        <c:axId val="81861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71228"/>
        <c:crosses val="autoZero"/>
        <c:auto val="1"/>
        <c:lblAlgn val="ctr"/>
        <c:lblOffset val="100"/>
        <c:noMultiLvlLbl val="0"/>
      </c:catAx>
      <c:valAx>
        <c:axId val="621712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612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Value by Sector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Sector_Exposure!C4</c:f>
              <c:strCache>
                <c:ptCount val="1"/>
                <c:pt idx="0">
                  <c:v>Market Value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Sector_Exposure!$B$5:$B$10</c:f>
              <c:strCache>
                <c:ptCount val="6"/>
                <c:pt idx="0">
                  <c:v>Banking</c:v>
                </c:pt>
                <c:pt idx="1">
                  <c:v>Energy</c:v>
                </c:pt>
                <c:pt idx="2">
                  <c:v>Government</c:v>
                </c:pt>
                <c:pt idx="3">
                  <c:v>Infrastructure</c:v>
                </c:pt>
                <c:pt idx="4">
                  <c:v>NBFC</c:v>
                </c:pt>
                <c:pt idx="5">
                  <c:v>Steel</c:v>
                </c:pt>
              </c:strCache>
            </c:strRef>
          </c:cat>
          <c:val>
            <c:numRef>
              <c:f>Sector_Exposure!$C$5:$C$10</c:f>
              <c:numCache>
                <c:formatCode>#,##0</c:formatCode>
                <c:ptCount val="6"/>
                <c:pt idx="0">
                  <c:v>1768793.07</c:v>
                </c:pt>
                <c:pt idx="1">
                  <c:v>1025789.67</c:v>
                </c:pt>
                <c:pt idx="2">
                  <c:v>18452107.18</c:v>
                </c:pt>
                <c:pt idx="3">
                  <c:v>2785416</c:v>
                </c:pt>
                <c:pt idx="4">
                  <c:v>7208368</c:v>
                </c:pt>
                <c:pt idx="5">
                  <c:v>818872.05</c:v>
                </c:pt>
              </c:numCache>
            </c:numRef>
          </c:val>
        </c:ser>
        <c:gapWidth val="150"/>
        <c:overlap val="0"/>
        <c:axId val="74668852"/>
        <c:axId val="62141458"/>
      </c:barChart>
      <c:catAx>
        <c:axId val="746688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41458"/>
        <c:crosses val="autoZero"/>
        <c:auto val="1"/>
        <c:lblAlgn val="ctr"/>
        <c:lblOffset val="100"/>
        <c:noMultiLvlLbl val="0"/>
      </c:catAx>
      <c:valAx>
        <c:axId val="62141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688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13</xdr:row>
      <xdr:rowOff>160560</xdr:rowOff>
    </xdr:from>
    <xdr:to>
      <xdr:col>13</xdr:col>
      <xdr:colOff>147600</xdr:colOff>
      <xdr:row>28</xdr:row>
      <xdr:rowOff>182520</xdr:rowOff>
    </xdr:to>
    <xdr:graphicFrame>
      <xdr:nvGraphicFramePr>
        <xdr:cNvPr id="0" name="Chart 1"/>
        <xdr:cNvGraphicFramePr/>
      </xdr:nvGraphicFramePr>
      <xdr:xfrm>
        <a:off x="5499720" y="2666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15</xdr:col>
      <xdr:colOff>147600</xdr:colOff>
      <xdr:row>17</xdr:row>
      <xdr:rowOff>182880</xdr:rowOff>
    </xdr:to>
    <xdr:graphicFrame>
      <xdr:nvGraphicFramePr>
        <xdr:cNvPr id="1" name="Chart 1"/>
        <xdr:cNvGraphicFramePr/>
      </xdr:nvGraphicFramePr>
      <xdr:xfrm>
        <a:off x="827136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15</xdr:col>
      <xdr:colOff>147600</xdr:colOff>
      <xdr:row>17</xdr:row>
      <xdr:rowOff>182880</xdr:rowOff>
    </xdr:to>
    <xdr:graphicFrame>
      <xdr:nvGraphicFramePr>
        <xdr:cNvPr id="2" name="Chart 1"/>
        <xdr:cNvGraphicFramePr/>
      </xdr:nvGraphicFramePr>
      <xdr:xfrm>
        <a:off x="827136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2" t="s">
        <v>1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2" t="s">
        <v>2</v>
      </c>
    </row>
    <row r="8" customFormat="false" ht="15" hidden="false" customHeight="false" outlineLevel="0" collapsed="false">
      <c r="B8" s="2" t="s">
        <v>3</v>
      </c>
    </row>
    <row r="9" customFormat="false" ht="15" hidden="false" customHeight="false" outlineLevel="0" collapsed="false">
      <c r="B9" s="2" t="s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2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2" t="s">
        <v>10</v>
      </c>
    </row>
    <row r="17" customFormat="false" ht="15" hidden="false" customHeight="false" outlineLevel="0" collapsed="false">
      <c r="B17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10.8"/>
    <col collapsed="false" customWidth="true" hidden="false" outlineLevel="0" max="8" min="6" style="0" width="10"/>
    <col collapsed="false" customWidth="true" hidden="false" outlineLevel="0" max="9" min="9" style="0" width="13.5"/>
    <col collapsed="false" customWidth="true" hidden="false" outlineLevel="0" max="11" min="10" style="0" width="10"/>
    <col collapsed="false" customWidth="true" hidden="false" outlineLevel="0" max="12" min="12" style="0" width="10.8"/>
    <col collapsed="false" customWidth="true" hidden="false" outlineLevel="0" max="13" min="13" style="0" width="11.7"/>
    <col collapsed="false" customWidth="true" hidden="false" outlineLevel="0" max="14" min="14" style="0" width="13.5"/>
    <col collapsed="false" customWidth="true" hidden="false" outlineLevel="0" max="15" min="15" style="0" width="18"/>
    <col collapsed="false" customWidth="true" hidden="false" outlineLevel="0" max="16" min="16" style="0" width="13.5"/>
    <col collapsed="false" customWidth="true" hidden="false" outlineLevel="0" max="17" min="17" style="0" width="10"/>
    <col collapsed="false" customWidth="true" hidden="false" outlineLevel="0" max="18" min="18" style="0" width="13.5"/>
    <col collapsed="false" customWidth="true" hidden="false" outlineLevel="0" max="19" min="19" style="0" width="10"/>
    <col collapsed="false" customWidth="true" hidden="false" outlineLevel="0" max="21" min="20" style="0" width="14.4"/>
    <col collapsed="false" customWidth="true" hidden="false" outlineLevel="0" max="22" min="22" style="0" width="10"/>
    <col collapsed="false" customWidth="true" hidden="false" outlineLevel="0" max="23" min="23" style="0" width="13.5"/>
    <col collapsed="false" customWidth="true" hidden="false" outlineLevel="0" max="24" min="24" style="0" width="15.3"/>
    <col collapsed="false" customWidth="true" hidden="false" outlineLevel="0" max="25" min="25" style="0" width="16.2"/>
    <col collapsed="false" customWidth="true" hidden="false" outlineLevel="0" max="26" min="26" style="0" width="18"/>
    <col collapsed="false" customWidth="true" hidden="false" outlineLevel="0" max="28" min="27" style="0" width="10"/>
    <col collapsed="false" customWidth="true" hidden="false" outlineLevel="0" max="29" min="29" style="0" width="11.7"/>
    <col collapsed="false" customWidth="true" hidden="false" outlineLevel="0" max="30" min="30" style="0" width="10"/>
    <col collapsed="false" customWidth="true" hidden="false" outlineLevel="0" max="31" min="31" style="0" width="18"/>
    <col collapsed="false" customWidth="true" hidden="false" outlineLevel="0" max="33" min="32" style="0" width="13.5"/>
    <col collapsed="false" customWidth="true" hidden="false" outlineLevel="0" max="36" min="34" style="0" width="10"/>
    <col collapsed="false" customWidth="true" hidden="false" outlineLevel="0" max="38" min="37" style="0" width="12.61"/>
    <col collapsed="false" customWidth="true" hidden="false" outlineLevel="0" max="40" min="39" style="0" width="17.1"/>
    <col collapsed="false" customWidth="true" hidden="false" outlineLevel="0" max="44" min="41" style="0" width="18"/>
  </cols>
  <sheetData>
    <row r="1" customFormat="false" ht="15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</row>
    <row r="2" customFormat="false" ht="15" hidden="false" customHeight="false" outlineLevel="0" collapsed="false">
      <c r="A2" s="0" t="s">
        <v>56</v>
      </c>
      <c r="B2" s="0" t="s">
        <v>57</v>
      </c>
      <c r="C2" s="0" t="s">
        <v>58</v>
      </c>
      <c r="D2" s="0" t="s">
        <v>59</v>
      </c>
      <c r="E2" s="0" t="s">
        <v>60</v>
      </c>
      <c r="F2" s="0" t="s">
        <v>61</v>
      </c>
      <c r="G2" s="0" t="n">
        <v>100</v>
      </c>
      <c r="H2" s="0" t="n">
        <v>0.062</v>
      </c>
      <c r="I2" s="0" t="n">
        <v>2</v>
      </c>
      <c r="J2" s="0" t="s">
        <v>62</v>
      </c>
      <c r="K2" s="0" t="s">
        <v>63</v>
      </c>
      <c r="L2" s="0" t="s">
        <v>64</v>
      </c>
      <c r="M2" s="0" t="s">
        <v>65</v>
      </c>
      <c r="N2" s="0" t="n">
        <v>2.3135</v>
      </c>
      <c r="O2" s="0" t="n">
        <v>3</v>
      </c>
      <c r="P2" s="0" t="n">
        <v>0.0674</v>
      </c>
      <c r="Q2" s="0" t="n">
        <v>99.0052</v>
      </c>
      <c r="R2" s="0" t="n">
        <v>0.0411</v>
      </c>
      <c r="S2" s="0" t="n">
        <v>99.3134</v>
      </c>
      <c r="T2" s="0" t="n">
        <v>1.9111</v>
      </c>
      <c r="U2" s="0" t="n">
        <v>1.8488</v>
      </c>
      <c r="V2" s="0" t="n">
        <v>4.4027</v>
      </c>
      <c r="W2" s="0" t="n">
        <v>0.0183</v>
      </c>
      <c r="X2" s="0" t="n">
        <v>1.8488</v>
      </c>
      <c r="Y2" s="0" t="n">
        <v>4.4027</v>
      </c>
      <c r="Z2" s="0" t="n">
        <v>0</v>
      </c>
      <c r="AA2" s="0" t="n">
        <v>0</v>
      </c>
      <c r="AB2" s="0" t="n">
        <v>8</v>
      </c>
      <c r="AC2" s="0" t="s">
        <v>66</v>
      </c>
      <c r="AD2" s="0" t="n">
        <v>100000</v>
      </c>
      <c r="AE2" s="0" t="n">
        <v>99005.2</v>
      </c>
      <c r="AF2" s="0" t="n">
        <v>99005.2</v>
      </c>
      <c r="AG2" s="0" t="n">
        <v>0.003088</v>
      </c>
      <c r="AH2" s="4" t="b">
        <f aca="false">FALSE()</f>
        <v>0</v>
      </c>
      <c r="AJ2" s="4" t="b">
        <f aca="false">FALSE()</f>
        <v>0</v>
      </c>
      <c r="AK2" s="4" t="b">
        <f aca="false">FALSE()</f>
        <v>0</v>
      </c>
      <c r="AL2" s="0" t="s">
        <v>67</v>
      </c>
      <c r="AM2" s="0" t="n">
        <v>0.9207</v>
      </c>
      <c r="AN2" s="0" t="n">
        <v>-0.9098</v>
      </c>
      <c r="AO2" s="0" t="n">
        <v>1.8522</v>
      </c>
      <c r="AP2" s="0" t="n">
        <v>-1.8086</v>
      </c>
      <c r="AQ2" s="0" t="n">
        <v>3.748</v>
      </c>
      <c r="AR2" s="0" t="n">
        <v>-3.5736</v>
      </c>
    </row>
    <row r="3" customFormat="false" ht="15" hidden="false" customHeight="false" outlineLevel="0" collapsed="false">
      <c r="A3" s="0" t="s">
        <v>68</v>
      </c>
      <c r="B3" s="0" t="s">
        <v>69</v>
      </c>
      <c r="C3" s="0" t="s">
        <v>58</v>
      </c>
      <c r="D3" s="0" t="s">
        <v>59</v>
      </c>
      <c r="E3" s="0" t="s">
        <v>60</v>
      </c>
      <c r="F3" s="0" t="s">
        <v>61</v>
      </c>
      <c r="G3" s="0" t="n">
        <v>100</v>
      </c>
      <c r="H3" s="0" t="n">
        <v>0.0773</v>
      </c>
      <c r="I3" s="0" t="n">
        <v>2</v>
      </c>
      <c r="J3" s="0" t="s">
        <v>62</v>
      </c>
      <c r="K3" s="0" t="s">
        <v>70</v>
      </c>
      <c r="L3" s="0" t="s">
        <v>71</v>
      </c>
      <c r="M3" s="0" t="s">
        <v>65</v>
      </c>
      <c r="N3" s="0" t="n">
        <v>21.0048</v>
      </c>
      <c r="O3" s="0" t="n">
        <v>23</v>
      </c>
      <c r="P3" s="0" t="n">
        <v>0.069</v>
      </c>
      <c r="Q3" s="0" t="n">
        <v>109.1347</v>
      </c>
      <c r="R3" s="0" t="n">
        <v>1.6378</v>
      </c>
      <c r="S3" s="0" t="n">
        <v>110.3014</v>
      </c>
      <c r="T3" s="0" t="n">
        <v>11.1303</v>
      </c>
      <c r="U3" s="0" t="n">
        <v>10.7591</v>
      </c>
      <c r="V3" s="0" t="n">
        <v>170.9441</v>
      </c>
      <c r="W3" s="0" t="n">
        <v>0.1174</v>
      </c>
      <c r="X3" s="0" t="n">
        <v>10.7591</v>
      </c>
      <c r="Y3" s="0" t="n">
        <v>170.9441</v>
      </c>
      <c r="Z3" s="0" t="n">
        <v>0</v>
      </c>
      <c r="AA3" s="0" t="n">
        <v>0</v>
      </c>
      <c r="AB3" s="0" t="n">
        <v>-4</v>
      </c>
      <c r="AC3" s="0" t="s">
        <v>72</v>
      </c>
      <c r="AD3" s="0" t="n">
        <v>20000</v>
      </c>
      <c r="AE3" s="0" t="n">
        <v>21826.94</v>
      </c>
      <c r="AF3" s="0" t="n">
        <v>21826.94</v>
      </c>
      <c r="AG3" s="0" t="n">
        <v>0.000681</v>
      </c>
      <c r="AH3" s="4" t="b">
        <f aca="false">FALSE()</f>
        <v>0</v>
      </c>
      <c r="AJ3" s="4" t="b">
        <f aca="false">FALSE()</f>
        <v>0</v>
      </c>
      <c r="AK3" s="4" t="b">
        <f aca="false">FALSE()</f>
        <v>0</v>
      </c>
      <c r="AL3" s="0" t="s">
        <v>67</v>
      </c>
      <c r="AM3" s="0" t="n">
        <v>6.1042</v>
      </c>
      <c r="AN3" s="0" t="n">
        <v>-5.6378</v>
      </c>
      <c r="AO3" s="0" t="n">
        <v>12.6747</v>
      </c>
      <c r="AP3" s="0" t="n">
        <v>-10.8091</v>
      </c>
      <c r="AQ3" s="0" t="n">
        <v>27.215</v>
      </c>
      <c r="AR3" s="0" t="n">
        <v>-19.7526</v>
      </c>
    </row>
    <row r="4" customFormat="false" ht="15" hidden="false" customHeight="false" outlineLevel="0" collapsed="false">
      <c r="A4" s="0" t="s">
        <v>73</v>
      </c>
      <c r="B4" s="0" t="s">
        <v>74</v>
      </c>
      <c r="C4" s="0" t="s">
        <v>58</v>
      </c>
      <c r="D4" s="0" t="s">
        <v>59</v>
      </c>
      <c r="E4" s="0" t="s">
        <v>60</v>
      </c>
      <c r="F4" s="0" t="s">
        <v>61</v>
      </c>
      <c r="G4" s="0" t="n">
        <v>100</v>
      </c>
      <c r="H4" s="0" t="n">
        <v>0.0555</v>
      </c>
      <c r="I4" s="0" t="n">
        <v>2</v>
      </c>
      <c r="J4" s="0" t="s">
        <v>62</v>
      </c>
      <c r="K4" s="0" t="s">
        <v>75</v>
      </c>
      <c r="L4" s="0" t="s">
        <v>76</v>
      </c>
      <c r="M4" s="0" t="s">
        <v>65</v>
      </c>
      <c r="N4" s="0" t="n">
        <v>5.2676</v>
      </c>
      <c r="O4" s="0" t="n">
        <v>6</v>
      </c>
      <c r="P4" s="0" t="n">
        <v>0.0674</v>
      </c>
      <c r="Q4" s="0" t="n">
        <v>95.019</v>
      </c>
      <c r="R4" s="0" t="n">
        <v>1.367</v>
      </c>
      <c r="S4" s="0" t="n">
        <v>96.2058</v>
      </c>
      <c r="T4" s="0" t="n">
        <v>4.4165</v>
      </c>
      <c r="U4" s="0" t="n">
        <v>4.2725</v>
      </c>
      <c r="V4" s="0" t="n">
        <v>21.7752</v>
      </c>
      <c r="W4" s="0" t="n">
        <v>0.0406</v>
      </c>
      <c r="X4" s="0" t="n">
        <v>4.2725</v>
      </c>
      <c r="Y4" s="0" t="n">
        <v>21.7752</v>
      </c>
      <c r="Z4" s="0" t="n">
        <v>0</v>
      </c>
      <c r="AA4" s="0" t="n">
        <v>0</v>
      </c>
      <c r="AB4" s="0" t="n">
        <v>-2</v>
      </c>
      <c r="AC4" s="0" t="s">
        <v>77</v>
      </c>
      <c r="AD4" s="0" t="n">
        <v>20000</v>
      </c>
      <c r="AE4" s="0" t="n">
        <v>19003.8</v>
      </c>
      <c r="AF4" s="0" t="n">
        <v>19003.8</v>
      </c>
      <c r="AG4" s="0" t="n">
        <v>0.000593</v>
      </c>
      <c r="AH4" s="4" t="b">
        <f aca="false">FALSE()</f>
        <v>0</v>
      </c>
      <c r="AJ4" s="4" t="b">
        <f aca="false">FALSE()</f>
        <v>0</v>
      </c>
      <c r="AK4" s="4" t="b">
        <f aca="false">FALSE()</f>
        <v>0</v>
      </c>
      <c r="AL4" s="0" t="s">
        <v>67</v>
      </c>
      <c r="AM4" s="0" t="n">
        <v>2.0557</v>
      </c>
      <c r="AN4" s="0" t="n">
        <v>-2.004</v>
      </c>
      <c r="AO4" s="0" t="n">
        <v>4.1631</v>
      </c>
      <c r="AP4" s="0" t="n">
        <v>-3.9562</v>
      </c>
      <c r="AQ4" s="0" t="n">
        <v>8.5332</v>
      </c>
      <c r="AR4" s="0" t="n">
        <v>-7.7056</v>
      </c>
    </row>
    <row r="5" customFormat="false" ht="15" hidden="false" customHeight="false" outlineLevel="0" collapsed="false">
      <c r="A5" s="0" t="s">
        <v>78</v>
      </c>
      <c r="B5" s="0" t="s">
        <v>79</v>
      </c>
      <c r="C5" s="0" t="s">
        <v>58</v>
      </c>
      <c r="D5" s="0" t="s">
        <v>59</v>
      </c>
      <c r="E5" s="0" t="s">
        <v>60</v>
      </c>
      <c r="F5" s="0" t="s">
        <v>61</v>
      </c>
      <c r="G5" s="0" t="n">
        <v>100</v>
      </c>
      <c r="H5" s="0" t="n">
        <v>0.0681</v>
      </c>
      <c r="I5" s="0" t="n">
        <v>2</v>
      </c>
      <c r="J5" s="0" t="s">
        <v>62</v>
      </c>
      <c r="K5" s="0" t="s">
        <v>80</v>
      </c>
      <c r="L5" s="0" t="s">
        <v>81</v>
      </c>
      <c r="M5" s="0" t="s">
        <v>65</v>
      </c>
      <c r="N5" s="0" t="n">
        <v>24.9117</v>
      </c>
      <c r="O5" s="0" t="n">
        <v>36</v>
      </c>
      <c r="P5" s="0" t="n">
        <v>0.0667</v>
      </c>
      <c r="Q5" s="0" t="n">
        <v>101.6783</v>
      </c>
      <c r="R5" s="0" t="n">
        <v>0.4596</v>
      </c>
      <c r="S5" s="0" t="n">
        <v>103.2538</v>
      </c>
      <c r="T5" s="0" t="n">
        <v>12.3379</v>
      </c>
      <c r="U5" s="0" t="n">
        <v>11.9397</v>
      </c>
      <c r="V5" s="0" t="n">
        <v>215.5283</v>
      </c>
      <c r="W5" s="0" t="n">
        <v>0.1214</v>
      </c>
      <c r="X5" s="0" t="n">
        <v>11.9397</v>
      </c>
      <c r="Y5" s="0" t="n">
        <v>215.5283</v>
      </c>
      <c r="Z5" s="0" t="n">
        <v>0</v>
      </c>
      <c r="AA5" s="0" t="n">
        <v>0</v>
      </c>
      <c r="AB5" s="0" t="n">
        <v>2</v>
      </c>
      <c r="AC5" s="0" t="s">
        <v>72</v>
      </c>
      <c r="AD5" s="0" t="n">
        <v>50000</v>
      </c>
      <c r="AE5" s="0" t="n">
        <v>50839.15</v>
      </c>
      <c r="AF5" s="0" t="n">
        <v>50839.15</v>
      </c>
      <c r="AG5" s="0" t="n">
        <v>0.001586</v>
      </c>
      <c r="AH5" s="4" t="b">
        <f aca="false">FALSE()</f>
        <v>0</v>
      </c>
      <c r="AJ5" s="4" t="b">
        <f aca="false">FALSE()</f>
        <v>0</v>
      </c>
      <c r="AK5" s="4" t="b">
        <f aca="false">FALSE()</f>
        <v>0</v>
      </c>
      <c r="AL5" s="0" t="s">
        <v>67</v>
      </c>
      <c r="AM5" s="0" t="n">
        <v>6.344</v>
      </c>
      <c r="AN5" s="0" t="n">
        <v>-5.7961</v>
      </c>
      <c r="AO5" s="0" t="n">
        <v>13.2358</v>
      </c>
      <c r="AP5" s="0" t="n">
        <v>-11.0444</v>
      </c>
      <c r="AQ5" s="0" t="n">
        <v>28.6631</v>
      </c>
      <c r="AR5" s="0" t="n">
        <v>-19.8973</v>
      </c>
    </row>
    <row r="6" customFormat="false" ht="15" hidden="false" customHeight="false" outlineLevel="0" collapsed="false">
      <c r="A6" s="0" t="s">
        <v>82</v>
      </c>
      <c r="B6" s="0" t="s">
        <v>83</v>
      </c>
      <c r="C6" s="0" t="s">
        <v>58</v>
      </c>
      <c r="D6" s="0" t="s">
        <v>59</v>
      </c>
      <c r="E6" s="0" t="s">
        <v>60</v>
      </c>
      <c r="F6" s="0" t="s">
        <v>61</v>
      </c>
      <c r="G6" s="0" t="n">
        <v>100</v>
      </c>
      <c r="H6" s="0" t="n">
        <v>0.075</v>
      </c>
      <c r="I6" s="0" t="n">
        <v>2</v>
      </c>
      <c r="J6" s="0" t="s">
        <v>62</v>
      </c>
      <c r="K6" s="0" t="s">
        <v>84</v>
      </c>
      <c r="L6" s="0" t="s">
        <v>85</v>
      </c>
      <c r="M6" s="0" t="s">
        <v>65</v>
      </c>
      <c r="N6" s="0" t="n">
        <v>18.4066</v>
      </c>
      <c r="O6" s="0" t="n">
        <v>22</v>
      </c>
      <c r="P6" s="0" t="n">
        <v>0.0702</v>
      </c>
      <c r="Q6" s="0" t="n">
        <v>104.8627</v>
      </c>
      <c r="R6" s="0" t="n">
        <v>0.8603</v>
      </c>
      <c r="S6" s="0" t="n">
        <v>105.3594</v>
      </c>
      <c r="T6" s="0" t="n">
        <v>10.3448</v>
      </c>
      <c r="U6" s="0" t="n">
        <v>9.994</v>
      </c>
      <c r="V6" s="0" t="n">
        <v>142.4173</v>
      </c>
      <c r="W6" s="0" t="n">
        <v>0.1048</v>
      </c>
      <c r="X6" s="0" t="n">
        <v>9.994</v>
      </c>
      <c r="Y6" s="0" t="n">
        <v>142.4173</v>
      </c>
      <c r="Z6" s="0" t="n">
        <v>0</v>
      </c>
      <c r="AA6" s="0" t="n">
        <v>0</v>
      </c>
      <c r="AB6" s="0" t="n">
        <v>2</v>
      </c>
      <c r="AC6" s="0" t="s">
        <v>86</v>
      </c>
      <c r="AD6" s="0" t="n">
        <v>200000</v>
      </c>
      <c r="AE6" s="0" t="n">
        <v>209725.4</v>
      </c>
      <c r="AF6" s="0" t="n">
        <v>209725.4</v>
      </c>
      <c r="AG6" s="0" t="n">
        <v>0.006542</v>
      </c>
      <c r="AH6" s="4" t="b">
        <f aca="false">FALSE()</f>
        <v>0</v>
      </c>
      <c r="AJ6" s="4" t="b">
        <f aca="false">FALSE()</f>
        <v>0</v>
      </c>
      <c r="AK6" s="4" t="b">
        <f aca="false">FALSE()</f>
        <v>0</v>
      </c>
      <c r="AL6" s="0" t="s">
        <v>67</v>
      </c>
      <c r="AM6" s="0" t="n">
        <v>5.4267</v>
      </c>
      <c r="AN6" s="0" t="n">
        <v>-5.0533</v>
      </c>
      <c r="AO6" s="0" t="n">
        <v>11.2267</v>
      </c>
      <c r="AP6" s="0" t="n">
        <v>-9.7333</v>
      </c>
      <c r="AQ6" s="0" t="n">
        <v>23.9468</v>
      </c>
      <c r="AR6" s="0" t="n">
        <v>-17.9731</v>
      </c>
    </row>
    <row r="7" customFormat="false" ht="15" hidden="false" customHeight="false" outlineLevel="0" collapsed="false">
      <c r="A7" s="0" t="s">
        <v>87</v>
      </c>
      <c r="B7" s="0" t="s">
        <v>88</v>
      </c>
      <c r="C7" s="0" t="s">
        <v>58</v>
      </c>
      <c r="D7" s="0" t="s">
        <v>59</v>
      </c>
      <c r="E7" s="0" t="s">
        <v>60</v>
      </c>
      <c r="F7" s="0" t="s">
        <v>61</v>
      </c>
      <c r="G7" s="0" t="n">
        <v>100</v>
      </c>
      <c r="H7" s="0" t="n">
        <v>0.0645</v>
      </c>
      <c r="I7" s="0" t="n">
        <v>2</v>
      </c>
      <c r="J7" s="0" t="s">
        <v>62</v>
      </c>
      <c r="K7" s="0" t="s">
        <v>89</v>
      </c>
      <c r="L7" s="0" t="s">
        <v>90</v>
      </c>
      <c r="M7" s="0" t="s">
        <v>65</v>
      </c>
      <c r="N7" s="0" t="n">
        <v>1.9658</v>
      </c>
      <c r="O7" s="0" t="n">
        <v>7</v>
      </c>
      <c r="P7" s="0" t="n">
        <v>0.074</v>
      </c>
      <c r="Q7" s="0" t="n">
        <v>98.6743</v>
      </c>
      <c r="R7" s="0" t="n">
        <v>1.0118</v>
      </c>
      <c r="S7" s="0" t="n">
        <v>99.9515</v>
      </c>
      <c r="T7" s="0" t="n">
        <v>1.4533</v>
      </c>
      <c r="U7" s="0" t="n">
        <v>1.4014</v>
      </c>
      <c r="V7" s="0" t="n">
        <v>2.6741</v>
      </c>
      <c r="W7" s="0" t="n">
        <v>0.0138</v>
      </c>
      <c r="X7" s="0" t="n">
        <v>1.4014</v>
      </c>
      <c r="Y7" s="0" t="n">
        <v>2.6741</v>
      </c>
      <c r="Z7" s="0" t="n">
        <v>0</v>
      </c>
      <c r="AA7" s="0" t="n">
        <v>0</v>
      </c>
      <c r="AB7" s="0" t="n">
        <v>8</v>
      </c>
      <c r="AC7" s="0" t="s">
        <v>91</v>
      </c>
      <c r="AD7" s="0" t="n">
        <v>10000</v>
      </c>
      <c r="AE7" s="0" t="n">
        <v>9867.43</v>
      </c>
      <c r="AF7" s="0" t="n">
        <v>9867.43</v>
      </c>
      <c r="AG7" s="0" t="n">
        <v>0.000308</v>
      </c>
      <c r="AH7" s="4" t="b">
        <f aca="false">FALSE()</f>
        <v>0</v>
      </c>
      <c r="AJ7" s="4" t="b">
        <f aca="false">FALSE()</f>
        <v>0</v>
      </c>
      <c r="AK7" s="4" t="b">
        <f aca="false">FALSE()</f>
        <v>0</v>
      </c>
      <c r="AL7" s="0" t="s">
        <v>67</v>
      </c>
      <c r="AM7" s="0" t="n">
        <v>0.6947</v>
      </c>
      <c r="AN7" s="0" t="n">
        <v>-0.6881</v>
      </c>
      <c r="AO7" s="0" t="n">
        <v>1.396</v>
      </c>
      <c r="AP7" s="0" t="n">
        <v>-1.3696</v>
      </c>
      <c r="AQ7" s="0" t="n">
        <v>2.8184</v>
      </c>
      <c r="AR7" s="0" t="n">
        <v>-2.7129</v>
      </c>
    </row>
    <row r="8" customFormat="false" ht="15" hidden="false" customHeight="false" outlineLevel="0" collapsed="false">
      <c r="A8" s="0" t="s">
        <v>92</v>
      </c>
      <c r="B8" s="0" t="s">
        <v>93</v>
      </c>
      <c r="C8" s="0" t="s">
        <v>58</v>
      </c>
      <c r="D8" s="0" t="s">
        <v>59</v>
      </c>
      <c r="E8" s="0" t="s">
        <v>60</v>
      </c>
      <c r="F8" s="0" t="s">
        <v>61</v>
      </c>
      <c r="G8" s="0" t="n">
        <v>100</v>
      </c>
      <c r="H8" s="0" t="n">
        <v>0.0694</v>
      </c>
      <c r="I8" s="0" t="n">
        <v>2</v>
      </c>
      <c r="J8" s="0" t="s">
        <v>62</v>
      </c>
      <c r="K8" s="0" t="s">
        <v>94</v>
      </c>
      <c r="L8" s="0" t="s">
        <v>95</v>
      </c>
      <c r="M8" s="0" t="s">
        <v>65</v>
      </c>
      <c r="N8" s="0" t="n">
        <v>24.5969</v>
      </c>
      <c r="O8" s="0" t="n">
        <v>36</v>
      </c>
      <c r="P8" s="0" t="n">
        <v>0.0731</v>
      </c>
      <c r="Q8" s="0" t="n">
        <v>95.8101</v>
      </c>
      <c r="R8" s="0" t="n">
        <v>0.1935</v>
      </c>
      <c r="S8" s="0" t="n">
        <v>96.5644</v>
      </c>
      <c r="T8" s="0" t="n">
        <v>11.854</v>
      </c>
      <c r="U8" s="0" t="n">
        <v>11.436</v>
      </c>
      <c r="V8" s="0" t="n">
        <v>201.833</v>
      </c>
      <c r="W8" s="0" t="n">
        <v>0.1096</v>
      </c>
      <c r="X8" s="0" t="n">
        <v>11.436</v>
      </c>
      <c r="Y8" s="0" t="n">
        <v>201.833</v>
      </c>
      <c r="Z8" s="0" t="n">
        <v>0</v>
      </c>
      <c r="AA8" s="0" t="n">
        <v>0</v>
      </c>
      <c r="AB8" s="0" t="n">
        <v>9</v>
      </c>
      <c r="AC8" s="0" t="s">
        <v>72</v>
      </c>
      <c r="AD8" s="0" t="n">
        <v>20000</v>
      </c>
      <c r="AE8" s="0" t="n">
        <v>19162.02</v>
      </c>
      <c r="AF8" s="0" t="n">
        <v>19162.02</v>
      </c>
      <c r="AG8" s="0" t="n">
        <v>0.000598</v>
      </c>
      <c r="AH8" s="4" t="b">
        <f aca="false">FALSE()</f>
        <v>0</v>
      </c>
      <c r="AJ8" s="4" t="b">
        <f aca="false">FALSE()</f>
        <v>0</v>
      </c>
      <c r="AK8" s="4" t="b">
        <f aca="false">FALSE()</f>
        <v>0</v>
      </c>
      <c r="AL8" s="0" t="s">
        <v>67</v>
      </c>
      <c r="AM8" s="0" t="n">
        <v>5.7201</v>
      </c>
      <c r="AN8" s="0" t="n">
        <v>-5.2367</v>
      </c>
      <c r="AO8" s="0" t="n">
        <v>11.9237</v>
      </c>
      <c r="AP8" s="0" t="n">
        <v>-9.99</v>
      </c>
      <c r="AQ8" s="0" t="n">
        <v>25.7812</v>
      </c>
      <c r="AR8" s="0" t="n">
        <v>-18.0462</v>
      </c>
    </row>
    <row r="9" customFormat="false" ht="15" hidden="false" customHeight="false" outlineLevel="0" collapsed="false">
      <c r="A9" s="0" t="s">
        <v>96</v>
      </c>
      <c r="B9" s="0" t="s">
        <v>97</v>
      </c>
      <c r="C9" s="0" t="s">
        <v>58</v>
      </c>
      <c r="D9" s="0" t="s">
        <v>59</v>
      </c>
      <c r="E9" s="0" t="s">
        <v>60</v>
      </c>
      <c r="F9" s="0" t="s">
        <v>61</v>
      </c>
      <c r="G9" s="0" t="n">
        <v>100</v>
      </c>
      <c r="H9" s="0" t="n">
        <v>0.0607</v>
      </c>
      <c r="I9" s="0" t="n">
        <v>2</v>
      </c>
      <c r="J9" s="0" t="s">
        <v>62</v>
      </c>
      <c r="K9" s="0" t="s">
        <v>98</v>
      </c>
      <c r="L9" s="0" t="s">
        <v>99</v>
      </c>
      <c r="M9" s="0" t="s">
        <v>65</v>
      </c>
      <c r="N9" s="0" t="n">
        <v>5.5633</v>
      </c>
      <c r="O9" s="0" t="n">
        <v>12</v>
      </c>
      <c r="P9" s="0" t="n">
        <v>0.0732</v>
      </c>
      <c r="Q9" s="0" t="n">
        <v>94.4229</v>
      </c>
      <c r="R9" s="0" t="n">
        <v>1.3938</v>
      </c>
      <c r="S9" s="0" t="n">
        <v>95.3318</v>
      </c>
      <c r="T9" s="0" t="n">
        <v>4.7315</v>
      </c>
      <c r="U9" s="0" t="n">
        <v>4.5644</v>
      </c>
      <c r="V9" s="0" t="n">
        <v>25.0647</v>
      </c>
      <c r="W9" s="0" t="n">
        <v>0.0431</v>
      </c>
      <c r="X9" s="0" t="n">
        <v>4.5644</v>
      </c>
      <c r="Y9" s="0" t="n">
        <v>25.0647</v>
      </c>
      <c r="Z9" s="0" t="n">
        <v>0</v>
      </c>
      <c r="AA9" s="0" t="n">
        <v>0</v>
      </c>
      <c r="AB9" s="0" t="n">
        <v>10</v>
      </c>
      <c r="AC9" s="0" t="s">
        <v>77</v>
      </c>
      <c r="AD9" s="0" t="n">
        <v>100000</v>
      </c>
      <c r="AE9" s="0" t="n">
        <v>94422.9</v>
      </c>
      <c r="AF9" s="0" t="n">
        <v>94422.9</v>
      </c>
      <c r="AG9" s="0" t="n">
        <v>0.002945</v>
      </c>
      <c r="AH9" s="4" t="b">
        <f aca="false">FALSE()</f>
        <v>0</v>
      </c>
      <c r="AJ9" s="4" t="b">
        <f aca="false">FALSE()</f>
        <v>0</v>
      </c>
      <c r="AK9" s="4" t="b">
        <f aca="false">FALSE()</f>
        <v>0</v>
      </c>
      <c r="AL9" s="0" t="s">
        <v>67</v>
      </c>
      <c r="AM9" s="0" t="n">
        <v>2.1845</v>
      </c>
      <c r="AN9" s="0" t="n">
        <v>-2.1253</v>
      </c>
      <c r="AO9" s="0" t="n">
        <v>4.4282</v>
      </c>
      <c r="AP9" s="0" t="n">
        <v>-4.1915</v>
      </c>
      <c r="AQ9" s="0" t="n">
        <v>9.093</v>
      </c>
      <c r="AR9" s="0" t="n">
        <v>-8.1463</v>
      </c>
    </row>
    <row r="10" customFormat="false" ht="15" hidden="false" customHeight="false" outlineLevel="0" collapsed="false">
      <c r="A10" s="0" t="s">
        <v>100</v>
      </c>
      <c r="B10" s="0" t="s">
        <v>101</v>
      </c>
      <c r="C10" s="0" t="s">
        <v>58</v>
      </c>
      <c r="D10" s="0" t="s">
        <v>59</v>
      </c>
      <c r="E10" s="0" t="s">
        <v>60</v>
      </c>
      <c r="F10" s="0" t="s">
        <v>61</v>
      </c>
      <c r="G10" s="0" t="n">
        <v>100</v>
      </c>
      <c r="H10" s="0" t="n">
        <v>0.0733</v>
      </c>
      <c r="I10" s="0" t="n">
        <v>2</v>
      </c>
      <c r="J10" s="0" t="s">
        <v>62</v>
      </c>
      <c r="K10" s="0" t="s">
        <v>102</v>
      </c>
      <c r="L10" s="0" t="s">
        <v>103</v>
      </c>
      <c r="M10" s="0" t="s">
        <v>65</v>
      </c>
      <c r="N10" s="0" t="n">
        <v>24.3806</v>
      </c>
      <c r="O10" s="0" t="n">
        <v>36</v>
      </c>
      <c r="P10" s="0" t="n">
        <v>0.0663</v>
      </c>
      <c r="Q10" s="0" t="n">
        <v>108.3514</v>
      </c>
      <c r="R10" s="0" t="n">
        <v>1.7351</v>
      </c>
      <c r="S10" s="0" t="n">
        <v>108.654</v>
      </c>
      <c r="T10" s="0" t="n">
        <v>12.0883</v>
      </c>
      <c r="U10" s="0" t="n">
        <v>11.7004</v>
      </c>
      <c r="V10" s="0" t="n">
        <v>206.5622</v>
      </c>
      <c r="W10" s="0" t="n">
        <v>0.1268</v>
      </c>
      <c r="X10" s="0" t="n">
        <v>11.7004</v>
      </c>
      <c r="Y10" s="0" t="n">
        <v>206.5622</v>
      </c>
      <c r="Z10" s="0" t="n">
        <v>0</v>
      </c>
      <c r="AA10" s="0" t="n">
        <v>0</v>
      </c>
      <c r="AB10" s="0" t="n">
        <v>8</v>
      </c>
      <c r="AC10" s="0" t="s">
        <v>72</v>
      </c>
      <c r="AD10" s="0" t="n">
        <v>50000</v>
      </c>
      <c r="AE10" s="0" t="n">
        <v>54175.7</v>
      </c>
      <c r="AF10" s="0" t="n">
        <v>54175.7</v>
      </c>
      <c r="AG10" s="0" t="n">
        <v>0.00169</v>
      </c>
      <c r="AH10" s="4" t="b">
        <f aca="false">FALSE()</f>
        <v>0</v>
      </c>
      <c r="AJ10" s="4" t="b">
        <f aca="false">FALSE()</f>
        <v>0</v>
      </c>
      <c r="AK10" s="4" t="b">
        <f aca="false">FALSE()</f>
        <v>0</v>
      </c>
      <c r="AL10" s="0" t="s">
        <v>67</v>
      </c>
      <c r="AM10" s="0" t="n">
        <v>6.6185</v>
      </c>
      <c r="AN10" s="0" t="n">
        <v>-6.059</v>
      </c>
      <c r="AO10" s="0" t="n">
        <v>13.7966</v>
      </c>
      <c r="AP10" s="0" t="n">
        <v>-11.5585</v>
      </c>
      <c r="AQ10" s="0" t="n">
        <v>29.8314</v>
      </c>
      <c r="AR10" s="0" t="n">
        <v>-20.8788</v>
      </c>
    </row>
    <row r="11" customFormat="false" ht="15" hidden="false" customHeight="false" outlineLevel="0" collapsed="false">
      <c r="A11" s="0" t="s">
        <v>104</v>
      </c>
      <c r="B11" s="0" t="s">
        <v>105</v>
      </c>
      <c r="C11" s="0" t="s">
        <v>58</v>
      </c>
      <c r="D11" s="0" t="s">
        <v>59</v>
      </c>
      <c r="E11" s="0" t="s">
        <v>60</v>
      </c>
      <c r="F11" s="0" t="s">
        <v>61</v>
      </c>
      <c r="G11" s="0" t="n">
        <v>100</v>
      </c>
      <c r="H11" s="0" t="n">
        <v>0.0564</v>
      </c>
      <c r="I11" s="0" t="n">
        <v>2</v>
      </c>
      <c r="J11" s="0" t="s">
        <v>62</v>
      </c>
      <c r="K11" s="0" t="s">
        <v>106</v>
      </c>
      <c r="L11" s="0" t="s">
        <v>107</v>
      </c>
      <c r="M11" s="0" t="s">
        <v>65</v>
      </c>
      <c r="N11" s="0" t="n">
        <v>22.1821</v>
      </c>
      <c r="O11" s="0" t="n">
        <v>23</v>
      </c>
      <c r="P11" s="0" t="n">
        <v>0.0708</v>
      </c>
      <c r="Q11" s="0" t="n">
        <v>84.0622</v>
      </c>
      <c r="R11" s="0" t="n">
        <v>0.3105</v>
      </c>
      <c r="S11" s="0" t="n">
        <v>84.1623</v>
      </c>
      <c r="T11" s="0" t="n">
        <v>12.0116</v>
      </c>
      <c r="U11" s="0" t="n">
        <v>11.6009</v>
      </c>
      <c r="V11" s="0" t="n">
        <v>197.3753</v>
      </c>
      <c r="W11" s="0" t="n">
        <v>0.0975</v>
      </c>
      <c r="X11" s="0" t="n">
        <v>11.6009</v>
      </c>
      <c r="Y11" s="0" t="n">
        <v>197.3753</v>
      </c>
      <c r="Z11" s="0" t="n">
        <v>0</v>
      </c>
      <c r="AA11" s="0" t="n">
        <v>0</v>
      </c>
      <c r="AB11" s="0" t="n">
        <v>-4</v>
      </c>
      <c r="AC11" s="0" t="s">
        <v>72</v>
      </c>
      <c r="AD11" s="0" t="n">
        <v>100000</v>
      </c>
      <c r="AE11" s="0" t="n">
        <v>84062.2</v>
      </c>
      <c r="AF11" s="0" t="n">
        <v>84062.2</v>
      </c>
      <c r="AG11" s="0" t="n">
        <v>0.002622</v>
      </c>
      <c r="AH11" s="4" t="b">
        <f aca="false">FALSE()</f>
        <v>0</v>
      </c>
      <c r="AJ11" s="4" t="b">
        <f aca="false">FALSE()</f>
        <v>0</v>
      </c>
      <c r="AK11" s="4" t="b">
        <f aca="false">FALSE()</f>
        <v>0</v>
      </c>
      <c r="AL11" s="0" t="s">
        <v>67</v>
      </c>
      <c r="AM11" s="0" t="n">
        <v>5.0834</v>
      </c>
      <c r="AN11" s="0" t="n">
        <v>-4.6686</v>
      </c>
      <c r="AO11" s="0" t="n">
        <v>10.5816</v>
      </c>
      <c r="AP11" s="0" t="n">
        <v>-8.9224</v>
      </c>
      <c r="AQ11" s="0" t="n">
        <v>22.8223</v>
      </c>
      <c r="AR11" s="0" t="n">
        <v>-16.1856</v>
      </c>
    </row>
    <row r="12" customFormat="false" ht="15" hidden="false" customHeight="false" outlineLevel="0" collapsed="false">
      <c r="A12" s="0" t="s">
        <v>108</v>
      </c>
      <c r="B12" s="0" t="s">
        <v>109</v>
      </c>
      <c r="C12" s="0" t="s">
        <v>58</v>
      </c>
      <c r="D12" s="0" t="s">
        <v>59</v>
      </c>
      <c r="E12" s="0" t="s">
        <v>60</v>
      </c>
      <c r="F12" s="0" t="s">
        <v>61</v>
      </c>
      <c r="G12" s="0" t="n">
        <v>100</v>
      </c>
      <c r="H12" s="0" t="n">
        <v>0.0538</v>
      </c>
      <c r="I12" s="0" t="n">
        <v>2</v>
      </c>
      <c r="J12" s="0" t="s">
        <v>62</v>
      </c>
      <c r="K12" s="0" t="s">
        <v>110</v>
      </c>
      <c r="L12" s="0" t="s">
        <v>111</v>
      </c>
      <c r="M12" s="0" t="s">
        <v>65</v>
      </c>
      <c r="N12" s="0" t="n">
        <v>29.1253</v>
      </c>
      <c r="O12" s="0" t="n">
        <v>38</v>
      </c>
      <c r="P12" s="0" t="n">
        <v>0.0676</v>
      </c>
      <c r="Q12" s="0" t="n">
        <v>82.5548</v>
      </c>
      <c r="R12" s="0" t="n">
        <v>1.0861</v>
      </c>
      <c r="S12" s="0" t="n">
        <v>82.8109</v>
      </c>
      <c r="T12" s="0" t="n">
        <v>13.6417</v>
      </c>
      <c r="U12" s="0" t="n">
        <v>13.1957</v>
      </c>
      <c r="V12" s="0" t="n">
        <v>272.9803</v>
      </c>
      <c r="W12" s="0" t="n">
        <v>0.1089</v>
      </c>
      <c r="X12" s="0" t="n">
        <v>13.1957</v>
      </c>
      <c r="Y12" s="0" t="n">
        <v>272.9803</v>
      </c>
      <c r="Z12" s="0" t="n">
        <v>0</v>
      </c>
      <c r="AA12" s="0" t="n">
        <v>0</v>
      </c>
      <c r="AB12" s="0" t="n">
        <v>-2</v>
      </c>
      <c r="AC12" s="0" t="s">
        <v>72</v>
      </c>
      <c r="AD12" s="0" t="n">
        <v>50000</v>
      </c>
      <c r="AE12" s="0" t="n">
        <v>41277.4</v>
      </c>
      <c r="AF12" s="0" t="n">
        <v>41277.4</v>
      </c>
      <c r="AG12" s="0" t="n">
        <v>0.001288</v>
      </c>
      <c r="AH12" s="4" t="b">
        <f aca="false">FALSE()</f>
        <v>0</v>
      </c>
      <c r="AJ12" s="4" t="b">
        <f aca="false">FALSE()</f>
        <v>0</v>
      </c>
      <c r="AK12" s="4" t="b">
        <f aca="false">FALSE()</f>
        <v>0</v>
      </c>
      <c r="AL12" s="0" t="s">
        <v>67</v>
      </c>
      <c r="AM12" s="0" t="n">
        <v>5.7285</v>
      </c>
      <c r="AN12" s="0" t="n">
        <v>-5.1651</v>
      </c>
      <c r="AO12" s="0" t="n">
        <v>12.0205</v>
      </c>
      <c r="AP12" s="0" t="n">
        <v>-9.7669</v>
      </c>
      <c r="AQ12" s="0" t="n">
        <v>26.2945</v>
      </c>
      <c r="AR12" s="0" t="n">
        <v>-17.2802</v>
      </c>
    </row>
    <row r="13" customFormat="false" ht="15" hidden="false" customHeight="false" outlineLevel="0" collapsed="false">
      <c r="A13" s="0" t="s">
        <v>112</v>
      </c>
      <c r="B13" s="0" t="s">
        <v>113</v>
      </c>
      <c r="C13" s="0" t="s">
        <v>58</v>
      </c>
      <c r="D13" s="0" t="s">
        <v>59</v>
      </c>
      <c r="E13" s="0" t="s">
        <v>60</v>
      </c>
      <c r="F13" s="0" t="s">
        <v>61</v>
      </c>
      <c r="G13" s="0" t="n">
        <v>100</v>
      </c>
      <c r="H13" s="0" t="n">
        <v>0.0728</v>
      </c>
      <c r="I13" s="0" t="n">
        <v>2</v>
      </c>
      <c r="J13" s="0" t="s">
        <v>62</v>
      </c>
      <c r="K13" s="0" t="s">
        <v>114</v>
      </c>
      <c r="L13" s="0" t="s">
        <v>115</v>
      </c>
      <c r="M13" s="0" t="s">
        <v>65</v>
      </c>
      <c r="N13" s="0" t="n">
        <v>5.7577</v>
      </c>
      <c r="O13" s="0" t="n">
        <v>8</v>
      </c>
      <c r="P13" s="0" t="n">
        <v>0.067</v>
      </c>
      <c r="Q13" s="0" t="n">
        <v>102.632</v>
      </c>
      <c r="R13" s="0" t="n">
        <v>0.2551</v>
      </c>
      <c r="S13" s="0" t="n">
        <v>102.9659</v>
      </c>
      <c r="T13" s="0" t="n">
        <v>4.6424</v>
      </c>
      <c r="U13" s="0" t="n">
        <v>4.4919</v>
      </c>
      <c r="V13" s="0" t="n">
        <v>24.5493</v>
      </c>
      <c r="W13" s="0" t="n">
        <v>0.0461</v>
      </c>
      <c r="X13" s="0" t="n">
        <v>4.4919</v>
      </c>
      <c r="Y13" s="0" t="n">
        <v>24.5493</v>
      </c>
      <c r="Z13" s="0" t="n">
        <v>0</v>
      </c>
      <c r="AA13" s="0" t="n">
        <v>0</v>
      </c>
      <c r="AB13" s="0" t="n">
        <v>9</v>
      </c>
      <c r="AC13" s="0" t="s">
        <v>77</v>
      </c>
      <c r="AD13" s="0" t="n">
        <v>50000</v>
      </c>
      <c r="AE13" s="0" t="n">
        <v>51316</v>
      </c>
      <c r="AF13" s="0" t="n">
        <v>51316</v>
      </c>
      <c r="AG13" s="0" t="n">
        <v>0.001601</v>
      </c>
      <c r="AH13" s="4" t="b">
        <f aca="false">FALSE()</f>
        <v>0</v>
      </c>
      <c r="AJ13" s="4" t="b">
        <f aca="false">FALSE()</f>
        <v>0</v>
      </c>
      <c r="AK13" s="4" t="b">
        <f aca="false">FALSE()</f>
        <v>0</v>
      </c>
      <c r="AL13" s="0" t="s">
        <v>67</v>
      </c>
      <c r="AM13" s="0" t="n">
        <v>2.3366</v>
      </c>
      <c r="AN13" s="0" t="n">
        <v>-2.2736</v>
      </c>
      <c r="AO13" s="0" t="n">
        <v>4.7361</v>
      </c>
      <c r="AP13" s="0" t="n">
        <v>-4.4841</v>
      </c>
      <c r="AQ13" s="0" t="n">
        <v>9.7242</v>
      </c>
      <c r="AR13" s="0" t="n">
        <v>-8.7163</v>
      </c>
    </row>
    <row r="14" customFormat="false" ht="15" hidden="false" customHeight="false" outlineLevel="0" collapsed="false">
      <c r="A14" s="0" t="s">
        <v>116</v>
      </c>
      <c r="B14" s="0" t="s">
        <v>117</v>
      </c>
      <c r="C14" s="0" t="s">
        <v>58</v>
      </c>
      <c r="D14" s="0" t="s">
        <v>59</v>
      </c>
      <c r="E14" s="0" t="s">
        <v>60</v>
      </c>
      <c r="F14" s="0" t="s">
        <v>61</v>
      </c>
      <c r="G14" s="0" t="n">
        <v>100</v>
      </c>
      <c r="H14" s="0" t="n">
        <v>0.0616</v>
      </c>
      <c r="I14" s="0" t="n">
        <v>2</v>
      </c>
      <c r="J14" s="0" t="s">
        <v>62</v>
      </c>
      <c r="K14" s="0" t="s">
        <v>118</v>
      </c>
      <c r="L14" s="0" t="s">
        <v>119</v>
      </c>
      <c r="M14" s="0" t="s">
        <v>65</v>
      </c>
      <c r="N14" s="0" t="n">
        <v>28.3833</v>
      </c>
      <c r="O14" s="0" t="n">
        <v>32</v>
      </c>
      <c r="P14" s="0" t="n">
        <v>0.0692</v>
      </c>
      <c r="Q14" s="0" t="n">
        <v>90.6521</v>
      </c>
      <c r="R14" s="0" t="n">
        <v>0.2535</v>
      </c>
      <c r="S14" s="0" t="n">
        <v>90.6554</v>
      </c>
      <c r="T14" s="0" t="n">
        <v>13.0009</v>
      </c>
      <c r="U14" s="0" t="n">
        <v>12.5661</v>
      </c>
      <c r="V14" s="0" t="n">
        <v>248.1949</v>
      </c>
      <c r="W14" s="0" t="n">
        <v>0.1139</v>
      </c>
      <c r="X14" s="0" t="n">
        <v>12.5661</v>
      </c>
      <c r="Y14" s="0" t="n">
        <v>248.1949</v>
      </c>
      <c r="Z14" s="0" t="n">
        <v>0</v>
      </c>
      <c r="AA14" s="0" t="n">
        <v>0</v>
      </c>
      <c r="AB14" s="0" t="n">
        <v>7</v>
      </c>
      <c r="AC14" s="0" t="s">
        <v>72</v>
      </c>
      <c r="AD14" s="0" t="n">
        <v>5000</v>
      </c>
      <c r="AE14" s="0" t="n">
        <v>4532.6</v>
      </c>
      <c r="AF14" s="0" t="n">
        <v>4532.6</v>
      </c>
      <c r="AG14" s="0" t="n">
        <v>0.000141</v>
      </c>
      <c r="AH14" s="4" t="b">
        <f aca="false">FALSE()</f>
        <v>0</v>
      </c>
      <c r="AJ14" s="4" t="b">
        <f aca="false">FALSE()</f>
        <v>0</v>
      </c>
      <c r="AK14" s="4" t="b">
        <f aca="false">FALSE()</f>
        <v>0</v>
      </c>
      <c r="AL14" s="0" t="s">
        <v>67</v>
      </c>
      <c r="AM14" s="0" t="n">
        <v>5.977</v>
      </c>
      <c r="AN14" s="0" t="n">
        <v>-5.4145</v>
      </c>
      <c r="AO14" s="0" t="n">
        <v>12.5164</v>
      </c>
      <c r="AP14" s="0" t="n">
        <v>-10.2665</v>
      </c>
      <c r="AQ14" s="0" t="n">
        <v>27.2827</v>
      </c>
      <c r="AR14" s="0" t="n">
        <v>-18.283</v>
      </c>
    </row>
    <row r="15" customFormat="false" ht="15" hidden="false" customHeight="false" outlineLevel="0" collapsed="false">
      <c r="A15" s="0" t="s">
        <v>120</v>
      </c>
      <c r="B15" s="0" t="s">
        <v>121</v>
      </c>
      <c r="C15" s="0" t="s">
        <v>58</v>
      </c>
      <c r="D15" s="0" t="s">
        <v>59</v>
      </c>
      <c r="E15" s="0" t="s">
        <v>60</v>
      </c>
      <c r="F15" s="0" t="s">
        <v>61</v>
      </c>
      <c r="G15" s="0" t="n">
        <v>100</v>
      </c>
      <c r="H15" s="0" t="n">
        <v>0.0665</v>
      </c>
      <c r="I15" s="0" t="n">
        <v>2</v>
      </c>
      <c r="J15" s="0" t="s">
        <v>62</v>
      </c>
      <c r="K15" s="0" t="s">
        <v>122</v>
      </c>
      <c r="L15" s="0" t="s">
        <v>123</v>
      </c>
      <c r="M15" s="0" t="s">
        <v>65</v>
      </c>
      <c r="N15" s="0" t="n">
        <v>34.5927</v>
      </c>
      <c r="O15" s="0" t="n">
        <v>36</v>
      </c>
      <c r="P15" s="0" t="n">
        <v>0.0683</v>
      </c>
      <c r="Q15" s="0" t="n">
        <v>97.6243</v>
      </c>
      <c r="R15" s="0" t="n">
        <v>0.9712</v>
      </c>
      <c r="S15" s="0" t="n">
        <v>98.4603</v>
      </c>
      <c r="T15" s="0" t="n">
        <v>13.7043</v>
      </c>
      <c r="U15" s="0" t="n">
        <v>13.2518</v>
      </c>
      <c r="V15" s="0" t="n">
        <v>292.4174</v>
      </c>
      <c r="W15" s="0" t="n">
        <v>0.1294</v>
      </c>
      <c r="X15" s="0" t="n">
        <v>13.2518</v>
      </c>
      <c r="Y15" s="0" t="n">
        <v>292.4174</v>
      </c>
      <c r="Z15" s="0" t="n">
        <v>0</v>
      </c>
      <c r="AA15" s="0" t="n">
        <v>0</v>
      </c>
      <c r="AB15" s="0" t="n">
        <v>0</v>
      </c>
      <c r="AC15" s="0" t="s">
        <v>72</v>
      </c>
      <c r="AD15" s="0" t="n">
        <v>5000</v>
      </c>
      <c r="AE15" s="0" t="n">
        <v>4881.22</v>
      </c>
      <c r="AF15" s="0" t="n">
        <v>4881.22</v>
      </c>
      <c r="AG15" s="0" t="n">
        <v>0.000152</v>
      </c>
      <c r="AH15" s="4" t="b">
        <f aca="false">FALSE()</f>
        <v>0</v>
      </c>
      <c r="AJ15" s="4" t="b">
        <f aca="false">FALSE()</f>
        <v>0</v>
      </c>
      <c r="AK15" s="4" t="b">
        <f aca="false">FALSE()</f>
        <v>0</v>
      </c>
      <c r="AL15" s="0" t="s">
        <v>67</v>
      </c>
      <c r="AM15" s="0" t="n">
        <v>6.8253</v>
      </c>
      <c r="AN15" s="0" t="n">
        <v>-6.1117</v>
      </c>
      <c r="AO15" s="0" t="n">
        <v>14.3643</v>
      </c>
      <c r="AP15" s="0" t="n">
        <v>-11.5096</v>
      </c>
      <c r="AQ15" s="0" t="n">
        <v>31.5834</v>
      </c>
      <c r="AR15" s="0" t="n">
        <v>-20.1645</v>
      </c>
    </row>
    <row r="16" customFormat="false" ht="15" hidden="false" customHeight="false" outlineLevel="0" collapsed="false">
      <c r="A16" s="0" t="s">
        <v>124</v>
      </c>
      <c r="B16" s="0" t="s">
        <v>125</v>
      </c>
      <c r="C16" s="0" t="s">
        <v>58</v>
      </c>
      <c r="D16" s="0" t="s">
        <v>59</v>
      </c>
      <c r="E16" s="0" t="s">
        <v>60</v>
      </c>
      <c r="F16" s="0" t="s">
        <v>61</v>
      </c>
      <c r="G16" s="0" t="n">
        <v>100</v>
      </c>
      <c r="H16" s="0" t="n">
        <v>0.057</v>
      </c>
      <c r="I16" s="0" t="n">
        <v>2</v>
      </c>
      <c r="J16" s="0" t="s">
        <v>62</v>
      </c>
      <c r="K16" s="0" t="s">
        <v>126</v>
      </c>
      <c r="L16" s="0" t="s">
        <v>127</v>
      </c>
      <c r="M16" s="0" t="s">
        <v>65</v>
      </c>
      <c r="N16" s="0" t="n">
        <v>38.8994</v>
      </c>
      <c r="O16" s="0" t="n">
        <v>40</v>
      </c>
      <c r="P16" s="0" t="n">
        <v>0.0659</v>
      </c>
      <c r="Q16" s="0" t="n">
        <v>87.6074</v>
      </c>
      <c r="R16" s="0" t="n">
        <v>0.8317</v>
      </c>
      <c r="S16" s="0" t="n">
        <v>88.3524</v>
      </c>
      <c r="T16" s="0" t="n">
        <v>14.6894</v>
      </c>
      <c r="U16" s="0" t="n">
        <v>14.2208</v>
      </c>
      <c r="V16" s="0" t="n">
        <v>343.076</v>
      </c>
      <c r="W16" s="0" t="n">
        <v>0.1246</v>
      </c>
      <c r="X16" s="0" t="n">
        <v>14.2208</v>
      </c>
      <c r="Y16" s="0" t="n">
        <v>343.076</v>
      </c>
      <c r="Z16" s="0" t="n">
        <v>0</v>
      </c>
      <c r="AA16" s="0" t="n">
        <v>0</v>
      </c>
      <c r="AB16" s="0" t="n">
        <v>3</v>
      </c>
      <c r="AC16" s="0" t="s">
        <v>72</v>
      </c>
      <c r="AD16" s="0" t="n">
        <v>200000</v>
      </c>
      <c r="AE16" s="0" t="n">
        <v>175214.8</v>
      </c>
      <c r="AF16" s="0" t="n">
        <v>175214.8</v>
      </c>
      <c r="AG16" s="0" t="n">
        <v>0.005465</v>
      </c>
      <c r="AH16" s="4" t="b">
        <f aca="false">FALSE()</f>
        <v>0</v>
      </c>
      <c r="AJ16" s="4" t="b">
        <f aca="false">FALSE()</f>
        <v>0</v>
      </c>
      <c r="AK16" s="4" t="b">
        <f aca="false">FALSE()</f>
        <v>0</v>
      </c>
      <c r="AL16" s="0" t="s">
        <v>67</v>
      </c>
      <c r="AM16" s="0" t="n">
        <v>6.6049</v>
      </c>
      <c r="AN16" s="0" t="n">
        <v>-5.8535</v>
      </c>
      <c r="AO16" s="0" t="n">
        <v>13.9613</v>
      </c>
      <c r="AP16" s="0" t="n">
        <v>-10.9557</v>
      </c>
      <c r="AQ16" s="0" t="n">
        <v>30.9281</v>
      </c>
      <c r="AR16" s="0" t="n">
        <v>-18.9057</v>
      </c>
    </row>
    <row r="17" customFormat="false" ht="15" hidden="false" customHeight="false" outlineLevel="0" collapsed="false">
      <c r="A17" s="0" t="s">
        <v>128</v>
      </c>
      <c r="B17" s="0" t="s">
        <v>129</v>
      </c>
      <c r="C17" s="0" t="s">
        <v>58</v>
      </c>
      <c r="D17" s="0" t="s">
        <v>59</v>
      </c>
      <c r="E17" s="0" t="s">
        <v>60</v>
      </c>
      <c r="F17" s="0" t="s">
        <v>61</v>
      </c>
      <c r="G17" s="0" t="n">
        <v>100</v>
      </c>
      <c r="H17" s="0" t="n">
        <v>0.0631</v>
      </c>
      <c r="I17" s="0" t="n">
        <v>2</v>
      </c>
      <c r="J17" s="0" t="s">
        <v>62</v>
      </c>
      <c r="K17" s="0" t="s">
        <v>130</v>
      </c>
      <c r="L17" s="0" t="s">
        <v>131</v>
      </c>
      <c r="M17" s="0" t="s">
        <v>65</v>
      </c>
      <c r="N17" s="0" t="n">
        <v>23.0418</v>
      </c>
      <c r="O17" s="0" t="n">
        <v>38</v>
      </c>
      <c r="P17" s="0" t="n">
        <v>0.0658</v>
      </c>
      <c r="Q17" s="0" t="n">
        <v>96.8223</v>
      </c>
      <c r="R17" s="0" t="n">
        <v>0.798</v>
      </c>
      <c r="S17" s="0" t="n">
        <v>97.0313</v>
      </c>
      <c r="T17" s="0" t="n">
        <v>12.26</v>
      </c>
      <c r="U17" s="0" t="n">
        <v>11.8695</v>
      </c>
      <c r="V17" s="0" t="n">
        <v>207.9245</v>
      </c>
      <c r="W17" s="0" t="n">
        <v>0.1149</v>
      </c>
      <c r="X17" s="0" t="n">
        <v>11.8695</v>
      </c>
      <c r="Y17" s="0" t="n">
        <v>207.9245</v>
      </c>
      <c r="Z17" s="0" t="n">
        <v>0</v>
      </c>
      <c r="AA17" s="0" t="n">
        <v>0</v>
      </c>
      <c r="AB17" s="0" t="n">
        <v>6</v>
      </c>
      <c r="AC17" s="0" t="s">
        <v>72</v>
      </c>
      <c r="AD17" s="0" t="n">
        <v>10000</v>
      </c>
      <c r="AE17" s="0" t="n">
        <v>9682.23</v>
      </c>
      <c r="AF17" s="0" t="n">
        <v>9682.23</v>
      </c>
      <c r="AG17" s="0" t="n">
        <v>0.000302</v>
      </c>
      <c r="AH17" s="4" t="b">
        <f aca="false">FALSE()</f>
        <v>0</v>
      </c>
      <c r="AJ17" s="4" t="b">
        <f aca="false">FALSE()</f>
        <v>0</v>
      </c>
      <c r="AK17" s="4" t="b">
        <f aca="false">FALSE()</f>
        <v>0</v>
      </c>
      <c r="AL17" s="0" t="s">
        <v>67</v>
      </c>
      <c r="AM17" s="0" t="n">
        <v>5.9978</v>
      </c>
      <c r="AN17" s="0" t="n">
        <v>-5.4945</v>
      </c>
      <c r="AO17" s="0" t="n">
        <v>12.4989</v>
      </c>
      <c r="AP17" s="0" t="n">
        <v>-10.4857</v>
      </c>
      <c r="AQ17" s="0" t="n">
        <v>27.011</v>
      </c>
      <c r="AR17" s="0" t="n">
        <v>-18.9583</v>
      </c>
    </row>
    <row r="18" customFormat="false" ht="15" hidden="false" customHeight="false" outlineLevel="0" collapsed="false">
      <c r="A18" s="0" t="s">
        <v>132</v>
      </c>
      <c r="B18" s="0" t="s">
        <v>133</v>
      </c>
      <c r="C18" s="0" t="s">
        <v>58</v>
      </c>
      <c r="D18" s="0" t="s">
        <v>59</v>
      </c>
      <c r="E18" s="0" t="s">
        <v>60</v>
      </c>
      <c r="F18" s="0" t="s">
        <v>61</v>
      </c>
      <c r="G18" s="0" t="n">
        <v>100</v>
      </c>
      <c r="H18" s="0" t="n">
        <v>0.069</v>
      </c>
      <c r="I18" s="0" t="n">
        <v>2</v>
      </c>
      <c r="J18" s="0" t="s">
        <v>62</v>
      </c>
      <c r="K18" s="0" t="s">
        <v>134</v>
      </c>
      <c r="L18" s="0" t="s">
        <v>135</v>
      </c>
      <c r="M18" s="0" t="s">
        <v>65</v>
      </c>
      <c r="N18" s="0" t="n">
        <v>32.1396</v>
      </c>
      <c r="O18" s="0" t="n">
        <v>37</v>
      </c>
      <c r="P18" s="0" t="n">
        <v>0.072</v>
      </c>
      <c r="Q18" s="0" t="n">
        <v>96.2666</v>
      </c>
      <c r="R18" s="0" t="n">
        <v>0.4562</v>
      </c>
      <c r="S18" s="0" t="n">
        <v>97.8014</v>
      </c>
      <c r="T18" s="0" t="n">
        <v>12.9786</v>
      </c>
      <c r="U18" s="0" t="n">
        <v>12.5276</v>
      </c>
      <c r="V18" s="0" t="n">
        <v>259.671</v>
      </c>
      <c r="W18" s="0" t="n">
        <v>0.1206</v>
      </c>
      <c r="X18" s="0" t="n">
        <v>12.5276</v>
      </c>
      <c r="Y18" s="0" t="n">
        <v>259.671</v>
      </c>
      <c r="Z18" s="0" t="n">
        <v>0</v>
      </c>
      <c r="AA18" s="0" t="n">
        <v>0</v>
      </c>
      <c r="AB18" s="0" t="n">
        <v>-1</v>
      </c>
      <c r="AC18" s="0" t="s">
        <v>72</v>
      </c>
      <c r="AD18" s="0" t="n">
        <v>10000</v>
      </c>
      <c r="AE18" s="0" t="n">
        <v>9626.66</v>
      </c>
      <c r="AF18" s="0" t="n">
        <v>9626.66</v>
      </c>
      <c r="AG18" s="0" t="n">
        <v>0.0003</v>
      </c>
      <c r="AH18" s="4" t="b">
        <f aca="false">FALSE()</f>
        <v>0</v>
      </c>
      <c r="AJ18" s="4" t="b">
        <f aca="false">FALSE()</f>
        <v>0</v>
      </c>
      <c r="AK18" s="4" t="b">
        <f aca="false">FALSE()</f>
        <v>0</v>
      </c>
      <c r="AL18" s="0" t="s">
        <v>67</v>
      </c>
      <c r="AM18" s="0" t="n">
        <v>6.3424</v>
      </c>
      <c r="AN18" s="0" t="n">
        <v>-5.7175</v>
      </c>
      <c r="AO18" s="0" t="n">
        <v>13.3098</v>
      </c>
      <c r="AP18" s="0" t="n">
        <v>-10.81</v>
      </c>
      <c r="AQ18" s="0" t="n">
        <v>29.1193</v>
      </c>
      <c r="AR18" s="0" t="n">
        <v>-19.1203</v>
      </c>
    </row>
    <row r="19" customFormat="false" ht="15" hidden="false" customHeight="false" outlineLevel="0" collapsed="false">
      <c r="A19" s="0" t="s">
        <v>136</v>
      </c>
      <c r="B19" s="0" t="s">
        <v>137</v>
      </c>
      <c r="C19" s="0" t="s">
        <v>58</v>
      </c>
      <c r="D19" s="0" t="s">
        <v>59</v>
      </c>
      <c r="E19" s="0" t="s">
        <v>60</v>
      </c>
      <c r="F19" s="0" t="s">
        <v>61</v>
      </c>
      <c r="G19" s="0" t="n">
        <v>100</v>
      </c>
      <c r="H19" s="0" t="n">
        <v>0.0526</v>
      </c>
      <c r="I19" s="0" t="n">
        <v>2</v>
      </c>
      <c r="J19" s="0" t="s">
        <v>62</v>
      </c>
      <c r="K19" s="0" t="s">
        <v>138</v>
      </c>
      <c r="L19" s="0" t="s">
        <v>139</v>
      </c>
      <c r="M19" s="0" t="s">
        <v>65</v>
      </c>
      <c r="N19" s="0" t="n">
        <v>16.4654</v>
      </c>
      <c r="O19" s="0" t="n">
        <v>29</v>
      </c>
      <c r="P19" s="0" t="n">
        <v>0.0655</v>
      </c>
      <c r="Q19" s="0" t="n">
        <v>87.328</v>
      </c>
      <c r="R19" s="0" t="n">
        <v>1.014</v>
      </c>
      <c r="S19" s="0" t="n">
        <v>88.1658</v>
      </c>
      <c r="T19" s="0" t="n">
        <v>10.6158</v>
      </c>
      <c r="U19" s="0" t="n">
        <v>10.2792</v>
      </c>
      <c r="V19" s="0" t="n">
        <v>140.6143</v>
      </c>
      <c r="W19" s="0" t="n">
        <v>0.0898</v>
      </c>
      <c r="X19" s="0" t="n">
        <v>10.2792</v>
      </c>
      <c r="Y19" s="0" t="n">
        <v>140.6143</v>
      </c>
      <c r="Z19" s="0" t="n">
        <v>0</v>
      </c>
      <c r="AA19" s="0" t="n">
        <v>0</v>
      </c>
      <c r="AB19" s="0" t="n">
        <v>3</v>
      </c>
      <c r="AC19" s="0" t="s">
        <v>86</v>
      </c>
      <c r="AD19" s="0" t="n">
        <v>20000</v>
      </c>
      <c r="AE19" s="0" t="n">
        <v>17465.6</v>
      </c>
      <c r="AF19" s="0" t="n">
        <v>17465.6</v>
      </c>
      <c r="AG19" s="0" t="n">
        <v>0.000545</v>
      </c>
      <c r="AH19" s="4" t="b">
        <f aca="false">FALSE()</f>
        <v>0</v>
      </c>
      <c r="AJ19" s="4" t="b">
        <f aca="false">FALSE()</f>
        <v>0</v>
      </c>
      <c r="AK19" s="4" t="b">
        <f aca="false">FALSE()</f>
        <v>0</v>
      </c>
      <c r="AL19" s="0" t="s">
        <v>67</v>
      </c>
      <c r="AM19" s="0" t="n">
        <v>4.6418</v>
      </c>
      <c r="AN19" s="0" t="n">
        <v>-4.3348</v>
      </c>
      <c r="AO19" s="0" t="n">
        <v>9.5906</v>
      </c>
      <c r="AP19" s="0" t="n">
        <v>-8.3626</v>
      </c>
      <c r="AQ19" s="0" t="n">
        <v>20.4092</v>
      </c>
      <c r="AR19" s="0" t="n">
        <v>-15.4973</v>
      </c>
    </row>
    <row r="20" customFormat="false" ht="15" hidden="false" customHeight="false" outlineLevel="0" collapsed="false">
      <c r="A20" s="0" t="s">
        <v>140</v>
      </c>
      <c r="B20" s="0" t="s">
        <v>141</v>
      </c>
      <c r="C20" s="0" t="s">
        <v>58</v>
      </c>
      <c r="D20" s="0" t="s">
        <v>59</v>
      </c>
      <c r="E20" s="0" t="s">
        <v>60</v>
      </c>
      <c r="F20" s="0" t="s">
        <v>61</v>
      </c>
      <c r="G20" s="0" t="n">
        <v>100</v>
      </c>
      <c r="H20" s="0" t="n">
        <v>0.0738</v>
      </c>
      <c r="I20" s="0" t="n">
        <v>2</v>
      </c>
      <c r="J20" s="0" t="s">
        <v>62</v>
      </c>
      <c r="K20" s="0" t="s">
        <v>142</v>
      </c>
      <c r="L20" s="0" t="s">
        <v>143</v>
      </c>
      <c r="M20" s="0" t="s">
        <v>65</v>
      </c>
      <c r="N20" s="0" t="n">
        <v>30.4695</v>
      </c>
      <c r="O20" s="0" t="n">
        <v>39</v>
      </c>
      <c r="P20" s="0" t="n">
        <v>0.0695</v>
      </c>
      <c r="Q20" s="0" t="n">
        <v>105.3902</v>
      </c>
      <c r="R20" s="0" t="n">
        <v>0.5687</v>
      </c>
      <c r="S20" s="0" t="n">
        <v>107.0488</v>
      </c>
      <c r="T20" s="0" t="n">
        <v>12.8423</v>
      </c>
      <c r="U20" s="0" t="n">
        <v>12.411</v>
      </c>
      <c r="V20" s="0" t="n">
        <v>248.7361</v>
      </c>
      <c r="W20" s="0" t="n">
        <v>0.1308</v>
      </c>
      <c r="X20" s="0" t="n">
        <v>12.411</v>
      </c>
      <c r="Y20" s="0" t="n">
        <v>248.7361</v>
      </c>
      <c r="Z20" s="0" t="n">
        <v>0</v>
      </c>
      <c r="AA20" s="0" t="n">
        <v>0</v>
      </c>
      <c r="AB20" s="0" t="n">
        <v>-4</v>
      </c>
      <c r="AC20" s="0" t="s">
        <v>72</v>
      </c>
      <c r="AD20" s="0" t="n">
        <v>5000</v>
      </c>
      <c r="AE20" s="0" t="n">
        <v>5269.51</v>
      </c>
      <c r="AF20" s="0" t="n">
        <v>5269.51</v>
      </c>
      <c r="AG20" s="0" t="n">
        <v>0.000164</v>
      </c>
      <c r="AH20" s="4" t="b">
        <f aca="false">FALSE()</f>
        <v>0</v>
      </c>
      <c r="AJ20" s="4" t="b">
        <f aca="false">FALSE()</f>
        <v>0</v>
      </c>
      <c r="AK20" s="4" t="b">
        <f aca="false">FALSE()</f>
        <v>0</v>
      </c>
      <c r="AL20" s="0" t="s">
        <v>67</v>
      </c>
      <c r="AM20" s="0" t="n">
        <v>6.8677</v>
      </c>
      <c r="AN20" s="0" t="n">
        <v>-6.2123</v>
      </c>
      <c r="AO20" s="0" t="n">
        <v>14.3907</v>
      </c>
      <c r="AP20" s="0" t="n">
        <v>-11.7693</v>
      </c>
      <c r="AQ20" s="0" t="n">
        <v>31.4028</v>
      </c>
      <c r="AR20" s="0" t="n">
        <v>-20.9171</v>
      </c>
    </row>
    <row r="21" customFormat="false" ht="15" hidden="false" customHeight="false" outlineLevel="0" collapsed="false">
      <c r="A21" s="0" t="s">
        <v>144</v>
      </c>
      <c r="B21" s="0" t="s">
        <v>145</v>
      </c>
      <c r="C21" s="0" t="s">
        <v>58</v>
      </c>
      <c r="D21" s="0" t="s">
        <v>59</v>
      </c>
      <c r="E21" s="0" t="s">
        <v>60</v>
      </c>
      <c r="F21" s="0" t="s">
        <v>61</v>
      </c>
      <c r="G21" s="0" t="n">
        <v>100</v>
      </c>
      <c r="H21" s="0" t="n">
        <v>0.0778</v>
      </c>
      <c r="I21" s="0" t="n">
        <v>2</v>
      </c>
      <c r="J21" s="0" t="s">
        <v>62</v>
      </c>
      <c r="K21" s="0" t="s">
        <v>146</v>
      </c>
      <c r="L21" s="0" t="s">
        <v>147</v>
      </c>
      <c r="M21" s="0" t="s">
        <v>65</v>
      </c>
      <c r="N21" s="0" t="n">
        <v>1.922</v>
      </c>
      <c r="O21" s="0" t="n">
        <v>13</v>
      </c>
      <c r="P21" s="0" t="n">
        <v>0.0653</v>
      </c>
      <c r="Q21" s="0" t="n">
        <v>101.7589</v>
      </c>
      <c r="R21" s="0" t="n">
        <v>1.7981</v>
      </c>
      <c r="S21" s="0" t="n">
        <v>103.2806</v>
      </c>
      <c r="T21" s="0" t="n">
        <v>1.4451</v>
      </c>
      <c r="U21" s="0" t="n">
        <v>1.3994</v>
      </c>
      <c r="V21" s="0" t="n">
        <v>2.6761</v>
      </c>
      <c r="W21" s="0" t="n">
        <v>0.0142</v>
      </c>
      <c r="X21" s="0" t="n">
        <v>1.3994</v>
      </c>
      <c r="Y21" s="0" t="n">
        <v>2.6761</v>
      </c>
      <c r="Z21" s="0" t="n">
        <v>0</v>
      </c>
      <c r="AA21" s="0" t="n">
        <v>0</v>
      </c>
      <c r="AB21" s="0" t="n">
        <v>8</v>
      </c>
      <c r="AC21" s="0" t="s">
        <v>91</v>
      </c>
      <c r="AD21" s="0" t="n">
        <v>200000</v>
      </c>
      <c r="AE21" s="0" t="n">
        <v>203517.8</v>
      </c>
      <c r="AF21" s="0" t="n">
        <v>203517.8</v>
      </c>
      <c r="AG21" s="0" t="n">
        <v>0.006348</v>
      </c>
      <c r="AH21" s="4" t="b">
        <f aca="false">FALSE()</f>
        <v>0</v>
      </c>
      <c r="AJ21" s="4" t="b">
        <f aca="false">FALSE()</f>
        <v>0</v>
      </c>
      <c r="AK21" s="4" t="b">
        <f aca="false">FALSE()</f>
        <v>0</v>
      </c>
      <c r="AL21" s="0" t="s">
        <v>67</v>
      </c>
      <c r="AM21" s="0" t="n">
        <v>0.7154</v>
      </c>
      <c r="AN21" s="0" t="n">
        <v>-0.7086</v>
      </c>
      <c r="AO21" s="0" t="n">
        <v>1.4376</v>
      </c>
      <c r="AP21" s="0" t="n">
        <v>-1.4104</v>
      </c>
      <c r="AQ21" s="0" t="n">
        <v>2.9025</v>
      </c>
      <c r="AR21" s="0" t="n">
        <v>-2.7936</v>
      </c>
    </row>
    <row r="22" customFormat="false" ht="15" hidden="false" customHeight="false" outlineLevel="0" collapsed="false">
      <c r="A22" s="0" t="s">
        <v>148</v>
      </c>
      <c r="B22" s="0" t="s">
        <v>149</v>
      </c>
      <c r="C22" s="0" t="s">
        <v>58</v>
      </c>
      <c r="D22" s="0" t="s">
        <v>59</v>
      </c>
      <c r="E22" s="0" t="s">
        <v>60</v>
      </c>
      <c r="F22" s="0" t="s">
        <v>61</v>
      </c>
      <c r="G22" s="0" t="n">
        <v>100</v>
      </c>
      <c r="H22" s="0" t="n">
        <v>0.06</v>
      </c>
      <c r="I22" s="0" t="n">
        <v>2</v>
      </c>
      <c r="J22" s="0" t="s">
        <v>62</v>
      </c>
      <c r="K22" s="0" t="s">
        <v>150</v>
      </c>
      <c r="L22" s="0" t="s">
        <v>151</v>
      </c>
      <c r="M22" s="0" t="s">
        <v>65</v>
      </c>
      <c r="N22" s="0" t="n">
        <v>12.2601</v>
      </c>
      <c r="O22" s="0" t="n">
        <v>16</v>
      </c>
      <c r="P22" s="0" t="n">
        <v>0.0719</v>
      </c>
      <c r="Q22" s="0" t="n">
        <v>90.5399</v>
      </c>
      <c r="R22" s="0" t="n">
        <v>0.4924</v>
      </c>
      <c r="S22" s="0" t="n">
        <v>91.8364</v>
      </c>
      <c r="T22" s="0" t="n">
        <v>8.5303</v>
      </c>
      <c r="U22" s="0" t="n">
        <v>8.2343</v>
      </c>
      <c r="V22" s="0" t="n">
        <v>87.5277</v>
      </c>
      <c r="W22" s="0" t="n">
        <v>0.0746</v>
      </c>
      <c r="X22" s="0" t="n">
        <v>8.2343</v>
      </c>
      <c r="Y22" s="0" t="n">
        <v>87.5277</v>
      </c>
      <c r="Z22" s="0" t="n">
        <v>0</v>
      </c>
      <c r="AA22" s="0" t="n">
        <v>0</v>
      </c>
      <c r="AB22" s="0" t="n">
        <v>3</v>
      </c>
      <c r="AC22" s="0" t="s">
        <v>152</v>
      </c>
      <c r="AD22" s="0" t="n">
        <v>50000</v>
      </c>
      <c r="AE22" s="0" t="n">
        <v>45269.95</v>
      </c>
      <c r="AF22" s="0" t="n">
        <v>45269.95</v>
      </c>
      <c r="AG22" s="0" t="n">
        <v>0.001412</v>
      </c>
      <c r="AH22" s="4" t="b">
        <f aca="false">FALSE()</f>
        <v>0</v>
      </c>
      <c r="AJ22" s="4" t="b">
        <f aca="false">FALSE()</f>
        <v>0</v>
      </c>
      <c r="AK22" s="4" t="b">
        <f aca="false">FALSE()</f>
        <v>0</v>
      </c>
      <c r="AL22" s="0" t="s">
        <v>67</v>
      </c>
      <c r="AM22" s="0" t="n">
        <v>3.8267</v>
      </c>
      <c r="AN22" s="0" t="n">
        <v>-3.6286</v>
      </c>
      <c r="AO22" s="0" t="n">
        <v>7.8516</v>
      </c>
      <c r="AP22" s="0" t="n">
        <v>-7.0591</v>
      </c>
      <c r="AQ22" s="0" t="n">
        <v>16.4956</v>
      </c>
      <c r="AR22" s="0" t="n">
        <v>-13.3257</v>
      </c>
    </row>
    <row r="23" customFormat="false" ht="15" hidden="false" customHeight="false" outlineLevel="0" collapsed="false">
      <c r="A23" s="0" t="s">
        <v>153</v>
      </c>
      <c r="B23" s="0" t="s">
        <v>154</v>
      </c>
      <c r="C23" s="0" t="s">
        <v>58</v>
      </c>
      <c r="D23" s="0" t="s">
        <v>59</v>
      </c>
      <c r="E23" s="0" t="s">
        <v>60</v>
      </c>
      <c r="F23" s="0" t="s">
        <v>61</v>
      </c>
      <c r="G23" s="0" t="n">
        <v>100</v>
      </c>
      <c r="H23" s="0" t="n">
        <v>0.0511</v>
      </c>
      <c r="I23" s="0" t="n">
        <v>2</v>
      </c>
      <c r="J23" s="0" t="s">
        <v>62</v>
      </c>
      <c r="K23" s="0" t="s">
        <v>155</v>
      </c>
      <c r="L23" s="0" t="s">
        <v>156</v>
      </c>
      <c r="M23" s="0" t="s">
        <v>65</v>
      </c>
      <c r="N23" s="0" t="n">
        <v>33.1773</v>
      </c>
      <c r="O23" s="0" t="n">
        <v>40</v>
      </c>
      <c r="P23" s="0" t="n">
        <v>0.0726</v>
      </c>
      <c r="Q23" s="0" t="n">
        <v>73.2005</v>
      </c>
      <c r="R23" s="0" t="n">
        <v>0.5575</v>
      </c>
      <c r="S23" s="0" t="n">
        <v>74.4579</v>
      </c>
      <c r="T23" s="0" t="n">
        <v>13.6896</v>
      </c>
      <c r="U23" s="0" t="n">
        <v>13.2101</v>
      </c>
      <c r="V23" s="0" t="n">
        <v>289.5883</v>
      </c>
      <c r="W23" s="0" t="n">
        <v>0.0967</v>
      </c>
      <c r="X23" s="0" t="n">
        <v>13.2101</v>
      </c>
      <c r="Y23" s="0" t="n">
        <v>289.5883</v>
      </c>
      <c r="Z23" s="0" t="n">
        <v>0</v>
      </c>
      <c r="AA23" s="0" t="n">
        <v>0</v>
      </c>
      <c r="AB23" s="0" t="n">
        <v>-2</v>
      </c>
      <c r="AC23" s="0" t="s">
        <v>72</v>
      </c>
      <c r="AD23" s="0" t="n">
        <v>20000</v>
      </c>
      <c r="AE23" s="0" t="n">
        <v>14640.1</v>
      </c>
      <c r="AF23" s="0" t="n">
        <v>14640.1</v>
      </c>
      <c r="AG23" s="0" t="n">
        <v>0.000457</v>
      </c>
      <c r="AH23" s="4" t="b">
        <f aca="false">FALSE()</f>
        <v>0</v>
      </c>
      <c r="AJ23" s="4" t="b">
        <f aca="false">FALSE()</f>
        <v>0</v>
      </c>
      <c r="AK23" s="4" t="b">
        <f aca="false">FALSE()</f>
        <v>0</v>
      </c>
      <c r="AL23" s="0" t="s">
        <v>67</v>
      </c>
      <c r="AM23" s="0" t="n">
        <v>5.0999</v>
      </c>
      <c r="AN23" s="0" t="n">
        <v>-4.57</v>
      </c>
      <c r="AO23" s="0" t="n">
        <v>10.7298</v>
      </c>
      <c r="AP23" s="0" t="n">
        <v>-8.61</v>
      </c>
      <c r="AQ23" s="0" t="n">
        <v>23.5793</v>
      </c>
      <c r="AR23" s="0" t="n">
        <v>-15.1001</v>
      </c>
    </row>
    <row r="24" customFormat="false" ht="15" hidden="false" customHeight="false" outlineLevel="0" collapsed="false">
      <c r="A24" s="0" t="s">
        <v>157</v>
      </c>
      <c r="B24" s="0" t="s">
        <v>158</v>
      </c>
      <c r="C24" s="0" t="s">
        <v>58</v>
      </c>
      <c r="D24" s="0" t="s">
        <v>59</v>
      </c>
      <c r="E24" s="0" t="s">
        <v>60</v>
      </c>
      <c r="F24" s="0" t="s">
        <v>61</v>
      </c>
      <c r="G24" s="0" t="n">
        <v>100</v>
      </c>
      <c r="H24" s="0" t="n">
        <v>0.0623</v>
      </c>
      <c r="I24" s="0" t="n">
        <v>2</v>
      </c>
      <c r="J24" s="0" t="s">
        <v>62</v>
      </c>
      <c r="K24" s="0" t="s">
        <v>159</v>
      </c>
      <c r="L24" s="0" t="s">
        <v>160</v>
      </c>
      <c r="M24" s="0" t="s">
        <v>65</v>
      </c>
      <c r="N24" s="0" t="n">
        <v>13.4565</v>
      </c>
      <c r="O24" s="0" t="n">
        <v>23</v>
      </c>
      <c r="P24" s="0" t="n">
        <v>0.072</v>
      </c>
      <c r="Q24" s="0" t="n">
        <v>91.8992</v>
      </c>
      <c r="R24" s="0" t="n">
        <v>1.121</v>
      </c>
      <c r="S24" s="0" t="n">
        <v>92.367</v>
      </c>
      <c r="T24" s="0" t="n">
        <v>8.9062</v>
      </c>
      <c r="U24" s="0" t="n">
        <v>8.5967</v>
      </c>
      <c r="V24" s="0" t="n">
        <v>97.1318</v>
      </c>
      <c r="W24" s="0" t="n">
        <v>0.079</v>
      </c>
      <c r="X24" s="0" t="n">
        <v>8.5967</v>
      </c>
      <c r="Y24" s="0" t="n">
        <v>97.1318</v>
      </c>
      <c r="Z24" s="0" t="n">
        <v>0</v>
      </c>
      <c r="AA24" s="0" t="n">
        <v>0</v>
      </c>
      <c r="AB24" s="0" t="n">
        <v>4</v>
      </c>
      <c r="AC24" s="0" t="s">
        <v>152</v>
      </c>
      <c r="AD24" s="0" t="n">
        <v>5000</v>
      </c>
      <c r="AE24" s="0" t="n">
        <v>4594.96</v>
      </c>
      <c r="AF24" s="0" t="n">
        <v>4594.96</v>
      </c>
      <c r="AG24" s="0" t="n">
        <v>0.000143</v>
      </c>
      <c r="AH24" s="4" t="b">
        <f aca="false">FALSE()</f>
        <v>0</v>
      </c>
      <c r="AJ24" s="4" t="b">
        <f aca="false">FALSE()</f>
        <v>0</v>
      </c>
      <c r="AK24" s="4" t="b">
        <f aca="false">FALSE()</f>
        <v>0</v>
      </c>
      <c r="AL24" s="0" t="s">
        <v>67</v>
      </c>
      <c r="AM24" s="0" t="n">
        <v>4.0617</v>
      </c>
      <c r="AN24" s="0" t="n">
        <v>-3.8386</v>
      </c>
      <c r="AO24" s="0" t="n">
        <v>8.3466</v>
      </c>
      <c r="AP24" s="0" t="n">
        <v>-7.454</v>
      </c>
      <c r="AQ24" s="0" t="n">
        <v>17.5859</v>
      </c>
      <c r="AR24" s="0" t="n">
        <v>-14.0153</v>
      </c>
    </row>
    <row r="25" customFormat="false" ht="15" hidden="false" customHeight="false" outlineLevel="0" collapsed="false">
      <c r="A25" s="0" t="s">
        <v>161</v>
      </c>
      <c r="B25" s="0" t="s">
        <v>162</v>
      </c>
      <c r="C25" s="0" t="s">
        <v>58</v>
      </c>
      <c r="D25" s="0" t="s">
        <v>59</v>
      </c>
      <c r="E25" s="0" t="s">
        <v>60</v>
      </c>
      <c r="F25" s="0" t="s">
        <v>61</v>
      </c>
      <c r="G25" s="0" t="n">
        <v>100</v>
      </c>
      <c r="H25" s="0" t="n">
        <v>0.0675</v>
      </c>
      <c r="I25" s="0" t="n">
        <v>2</v>
      </c>
      <c r="J25" s="0" t="s">
        <v>62</v>
      </c>
      <c r="K25" s="0" t="s">
        <v>163</v>
      </c>
      <c r="L25" s="0" t="s">
        <v>164</v>
      </c>
      <c r="M25" s="0" t="s">
        <v>65</v>
      </c>
      <c r="N25" s="0" t="n">
        <v>14.6037</v>
      </c>
      <c r="O25" s="0" t="n">
        <v>21</v>
      </c>
      <c r="P25" s="0" t="n">
        <v>0.0738</v>
      </c>
      <c r="Q25" s="0" t="n">
        <v>94.4482</v>
      </c>
      <c r="R25" s="0" t="n">
        <v>0.4842</v>
      </c>
      <c r="S25" s="0" t="n">
        <v>95.1736</v>
      </c>
      <c r="T25" s="0" t="n">
        <v>9.307</v>
      </c>
      <c r="U25" s="0" t="n">
        <v>8.9758</v>
      </c>
      <c r="V25" s="0" t="n">
        <v>109.3448</v>
      </c>
      <c r="W25" s="0" t="n">
        <v>0.0848</v>
      </c>
      <c r="X25" s="0" t="n">
        <v>8.9758</v>
      </c>
      <c r="Y25" s="0" t="n">
        <v>109.3448</v>
      </c>
      <c r="Z25" s="0" t="n">
        <v>0</v>
      </c>
      <c r="AA25" s="0" t="n">
        <v>0</v>
      </c>
      <c r="AB25" s="0" t="n">
        <v>5</v>
      </c>
      <c r="AC25" s="0" t="s">
        <v>152</v>
      </c>
      <c r="AD25" s="0" t="n">
        <v>20000</v>
      </c>
      <c r="AE25" s="0" t="n">
        <v>18889.64</v>
      </c>
      <c r="AF25" s="0" t="n">
        <v>18889.64</v>
      </c>
      <c r="AG25" s="0" t="n">
        <v>0.000589</v>
      </c>
      <c r="AH25" s="4" t="b">
        <f aca="false">FALSE()</f>
        <v>0</v>
      </c>
      <c r="AJ25" s="4" t="b">
        <f aca="false">FALSE()</f>
        <v>0</v>
      </c>
      <c r="AK25" s="4" t="b">
        <f aca="false">FALSE()</f>
        <v>0</v>
      </c>
      <c r="AL25" s="0" t="s">
        <v>67</v>
      </c>
      <c r="AM25" s="0" t="n">
        <v>4.3678</v>
      </c>
      <c r="AN25" s="0" t="n">
        <v>-4.1096</v>
      </c>
      <c r="AO25" s="0" t="n">
        <v>8.9939</v>
      </c>
      <c r="AP25" s="0" t="n">
        <v>-7.9611</v>
      </c>
      <c r="AQ25" s="0" t="n">
        <v>19.0204</v>
      </c>
      <c r="AR25" s="0" t="n">
        <v>-14.8895</v>
      </c>
    </row>
    <row r="26" customFormat="false" ht="15" hidden="false" customHeight="false" outlineLevel="0" collapsed="false">
      <c r="A26" s="0" t="s">
        <v>165</v>
      </c>
      <c r="B26" s="0" t="s">
        <v>166</v>
      </c>
      <c r="C26" s="0" t="s">
        <v>58</v>
      </c>
      <c r="D26" s="0" t="s">
        <v>59</v>
      </c>
      <c r="E26" s="0" t="s">
        <v>60</v>
      </c>
      <c r="F26" s="0" t="s">
        <v>61</v>
      </c>
      <c r="G26" s="0" t="n">
        <v>100</v>
      </c>
      <c r="H26" s="0" t="n">
        <v>0.0596</v>
      </c>
      <c r="I26" s="0" t="n">
        <v>2</v>
      </c>
      <c r="J26" s="0" t="s">
        <v>62</v>
      </c>
      <c r="K26" s="0" t="s">
        <v>167</v>
      </c>
      <c r="L26" s="0" t="s">
        <v>168</v>
      </c>
      <c r="M26" s="0" t="s">
        <v>65</v>
      </c>
      <c r="N26" s="0" t="n">
        <v>6.7406</v>
      </c>
      <c r="O26" s="0" t="n">
        <v>17</v>
      </c>
      <c r="P26" s="0" t="n">
        <v>0.0674</v>
      </c>
      <c r="Q26" s="0" t="n">
        <v>95.9488</v>
      </c>
      <c r="R26" s="0" t="n">
        <v>0.2196</v>
      </c>
      <c r="S26" s="0" t="n">
        <v>96.0177</v>
      </c>
      <c r="T26" s="0" t="n">
        <v>5.4575</v>
      </c>
      <c r="U26" s="0" t="n">
        <v>5.2796</v>
      </c>
      <c r="V26" s="0" t="n">
        <v>33.6102</v>
      </c>
      <c r="W26" s="0" t="n">
        <v>0.0507</v>
      </c>
      <c r="X26" s="0" t="n">
        <v>5.2796</v>
      </c>
      <c r="Y26" s="0" t="n">
        <v>33.6102</v>
      </c>
      <c r="Z26" s="0" t="n">
        <v>0</v>
      </c>
      <c r="AA26" s="0" t="n">
        <v>0</v>
      </c>
      <c r="AB26" s="0" t="n">
        <v>10</v>
      </c>
      <c r="AC26" s="0" t="s">
        <v>77</v>
      </c>
      <c r="AD26" s="0" t="n">
        <v>10000</v>
      </c>
      <c r="AE26" s="0" t="n">
        <v>9594.88</v>
      </c>
      <c r="AF26" s="0" t="n">
        <v>9594.88</v>
      </c>
      <c r="AG26" s="0" t="n">
        <v>0.000299</v>
      </c>
      <c r="AH26" s="4" t="b">
        <f aca="false">FALSE()</f>
        <v>0</v>
      </c>
      <c r="AJ26" s="4" t="b">
        <f aca="false">FALSE()</f>
        <v>0</v>
      </c>
      <c r="AK26" s="4" t="b">
        <f aca="false">FALSE()</f>
        <v>0</v>
      </c>
      <c r="AL26" s="0" t="s">
        <v>67</v>
      </c>
      <c r="AM26" s="0" t="n">
        <v>2.5732</v>
      </c>
      <c r="AN26" s="0" t="n">
        <v>-2.4925</v>
      </c>
      <c r="AO26" s="0" t="n">
        <v>5.227</v>
      </c>
      <c r="AP26" s="0" t="n">
        <v>-4.9045</v>
      </c>
      <c r="AQ26" s="0" t="n">
        <v>10.7764</v>
      </c>
      <c r="AR26" s="0" t="n">
        <v>-9.4865</v>
      </c>
    </row>
    <row r="27" customFormat="false" ht="15" hidden="false" customHeight="false" outlineLevel="0" collapsed="false">
      <c r="A27" s="0" t="s">
        <v>169</v>
      </c>
      <c r="B27" s="0" t="s">
        <v>170</v>
      </c>
      <c r="C27" s="0" t="s">
        <v>58</v>
      </c>
      <c r="D27" s="0" t="s">
        <v>59</v>
      </c>
      <c r="E27" s="0" t="s">
        <v>60</v>
      </c>
      <c r="F27" s="0" t="s">
        <v>61</v>
      </c>
      <c r="G27" s="0" t="n">
        <v>100</v>
      </c>
      <c r="H27" s="0" t="n">
        <v>0.0687</v>
      </c>
      <c r="I27" s="0" t="n">
        <v>2</v>
      </c>
      <c r="J27" s="0" t="s">
        <v>62</v>
      </c>
      <c r="K27" s="0" t="s">
        <v>171</v>
      </c>
      <c r="L27" s="0" t="s">
        <v>172</v>
      </c>
      <c r="M27" s="0" t="s">
        <v>65</v>
      </c>
      <c r="N27" s="0" t="n">
        <v>0.6078</v>
      </c>
      <c r="O27" s="0" t="n">
        <v>2</v>
      </c>
      <c r="P27" s="0" t="n">
        <v>0.074</v>
      </c>
      <c r="Q27" s="0" t="n">
        <v>99.7445</v>
      </c>
      <c r="R27" s="0" t="n">
        <v>1.3369</v>
      </c>
      <c r="S27" s="0" t="n">
        <v>100.1204</v>
      </c>
      <c r="T27" s="0" t="n">
        <v>0.5</v>
      </c>
      <c r="U27" s="0" t="n">
        <v>0.4822</v>
      </c>
      <c r="V27" s="0" t="n">
        <v>0.465</v>
      </c>
      <c r="W27" s="0" t="n">
        <v>0.0048</v>
      </c>
      <c r="X27" s="0" t="n">
        <v>0.4822</v>
      </c>
      <c r="Y27" s="0" t="n">
        <v>0.465</v>
      </c>
      <c r="Z27" s="0" t="n">
        <v>0</v>
      </c>
      <c r="AA27" s="0" t="n">
        <v>0</v>
      </c>
      <c r="AB27" s="0" t="n">
        <v>9</v>
      </c>
      <c r="AC27" s="0" t="s">
        <v>173</v>
      </c>
      <c r="AD27" s="0" t="n">
        <v>5000</v>
      </c>
      <c r="AE27" s="0" t="n">
        <v>4987.23</v>
      </c>
      <c r="AF27" s="0" t="n">
        <v>4987.23</v>
      </c>
      <c r="AG27" s="0" t="n">
        <v>0.000156</v>
      </c>
      <c r="AH27" s="4" t="b">
        <f aca="false">FALSE()</f>
        <v>0</v>
      </c>
      <c r="AJ27" s="4" t="b">
        <f aca="false">FALSE()</f>
        <v>0</v>
      </c>
      <c r="AK27" s="4" t="b">
        <f aca="false">FALSE()</f>
        <v>0</v>
      </c>
      <c r="AL27" s="0" t="s">
        <v>67</v>
      </c>
      <c r="AM27" s="0" t="n">
        <v>0.2411</v>
      </c>
      <c r="AN27" s="0" t="n">
        <v>-0.2399</v>
      </c>
      <c r="AO27" s="0" t="n">
        <v>0.4833</v>
      </c>
      <c r="AP27" s="0" t="n">
        <v>-0.4786</v>
      </c>
      <c r="AQ27" s="0" t="n">
        <v>0.9712</v>
      </c>
      <c r="AR27" s="0" t="n">
        <v>-0.9527</v>
      </c>
    </row>
    <row r="28" customFormat="false" ht="15" hidden="false" customHeight="false" outlineLevel="0" collapsed="false">
      <c r="A28" s="0" t="s">
        <v>174</v>
      </c>
      <c r="B28" s="0" t="s">
        <v>175</v>
      </c>
      <c r="C28" s="0" t="s">
        <v>58</v>
      </c>
      <c r="D28" s="0" t="s">
        <v>59</v>
      </c>
      <c r="E28" s="0" t="s">
        <v>60</v>
      </c>
      <c r="F28" s="0" t="s">
        <v>61</v>
      </c>
      <c r="G28" s="0" t="n">
        <v>100</v>
      </c>
      <c r="H28" s="0" t="n">
        <v>0.0771</v>
      </c>
      <c r="I28" s="0" t="n">
        <v>2</v>
      </c>
      <c r="J28" s="0" t="s">
        <v>62</v>
      </c>
      <c r="K28" s="0" t="s">
        <v>176</v>
      </c>
      <c r="L28" s="0" t="s">
        <v>177</v>
      </c>
      <c r="M28" s="0" t="s">
        <v>65</v>
      </c>
      <c r="N28" s="0" t="n">
        <v>20.6051</v>
      </c>
      <c r="O28" s="0" t="n">
        <v>30</v>
      </c>
      <c r="P28" s="0" t="n">
        <v>0.0726</v>
      </c>
      <c r="Q28" s="0" t="n">
        <v>104.7616</v>
      </c>
      <c r="R28" s="0" t="n">
        <v>0.8225</v>
      </c>
      <c r="S28" s="0" t="n">
        <v>106.5096</v>
      </c>
      <c r="T28" s="0" t="n">
        <v>10.8348</v>
      </c>
      <c r="U28" s="0" t="n">
        <v>10.4553</v>
      </c>
      <c r="V28" s="0" t="n">
        <v>161.9512</v>
      </c>
      <c r="W28" s="0" t="n">
        <v>0.1095</v>
      </c>
      <c r="X28" s="0" t="n">
        <v>10.4553</v>
      </c>
      <c r="Y28" s="0" t="n">
        <v>161.9512</v>
      </c>
      <c r="Z28" s="0" t="n">
        <v>0</v>
      </c>
      <c r="AA28" s="0" t="n">
        <v>0</v>
      </c>
      <c r="AB28" s="0" t="n">
        <v>9</v>
      </c>
      <c r="AC28" s="0" t="s">
        <v>72</v>
      </c>
      <c r="AD28" s="0" t="n">
        <v>100000</v>
      </c>
      <c r="AE28" s="0" t="n">
        <v>104761.6</v>
      </c>
      <c r="AF28" s="0" t="n">
        <v>104761.6</v>
      </c>
      <c r="AG28" s="0" t="n">
        <v>0.003268</v>
      </c>
      <c r="AH28" s="4" t="b">
        <f aca="false">FALSE()</f>
        <v>0</v>
      </c>
      <c r="AJ28" s="4" t="b">
        <f aca="false">FALSE()</f>
        <v>0</v>
      </c>
      <c r="AK28" s="4" t="b">
        <f aca="false">FALSE()</f>
        <v>0</v>
      </c>
      <c r="AL28" s="0" t="s">
        <v>67</v>
      </c>
      <c r="AM28" s="0" t="n">
        <v>5.6886</v>
      </c>
      <c r="AN28" s="0" t="n">
        <v>-5.2645</v>
      </c>
      <c r="AO28" s="0" t="n">
        <v>11.8015</v>
      </c>
      <c r="AP28" s="0" t="n">
        <v>-10.1048</v>
      </c>
      <c r="AQ28" s="0" t="n">
        <v>25.2995</v>
      </c>
      <c r="AR28" s="0" t="n">
        <v>-18.513</v>
      </c>
    </row>
    <row r="29" customFormat="false" ht="15" hidden="false" customHeight="false" outlineLevel="0" collapsed="false">
      <c r="A29" s="0" t="s">
        <v>178</v>
      </c>
      <c r="B29" s="0" t="s">
        <v>179</v>
      </c>
      <c r="C29" s="0" t="s">
        <v>58</v>
      </c>
      <c r="D29" s="0" t="s">
        <v>59</v>
      </c>
      <c r="E29" s="0" t="s">
        <v>60</v>
      </c>
      <c r="F29" s="0" t="s">
        <v>61</v>
      </c>
      <c r="G29" s="0" t="n">
        <v>100</v>
      </c>
      <c r="H29" s="0" t="n">
        <v>0.0522</v>
      </c>
      <c r="I29" s="0" t="n">
        <v>2</v>
      </c>
      <c r="J29" s="0" t="s">
        <v>62</v>
      </c>
      <c r="K29" s="0" t="s">
        <v>180</v>
      </c>
      <c r="L29" s="0" t="s">
        <v>181</v>
      </c>
      <c r="M29" s="0" t="s">
        <v>65</v>
      </c>
      <c r="N29" s="0" t="n">
        <v>16.0903</v>
      </c>
      <c r="O29" s="0" t="n">
        <v>20</v>
      </c>
      <c r="P29" s="0" t="n">
        <v>0.0685</v>
      </c>
      <c r="Q29" s="0" t="n">
        <v>84.3043</v>
      </c>
      <c r="R29" s="0" t="n">
        <v>0.1052</v>
      </c>
      <c r="S29" s="0" t="n">
        <v>84.5011</v>
      </c>
      <c r="T29" s="0" t="n">
        <v>10.5395</v>
      </c>
      <c r="U29" s="0" t="n">
        <v>10.1905</v>
      </c>
      <c r="V29" s="0" t="n">
        <v>138.8687</v>
      </c>
      <c r="W29" s="0" t="n">
        <v>0.0859</v>
      </c>
      <c r="X29" s="0" t="n">
        <v>10.1905</v>
      </c>
      <c r="Y29" s="0" t="n">
        <v>138.8687</v>
      </c>
      <c r="Z29" s="0" t="n">
        <v>0</v>
      </c>
      <c r="AA29" s="0" t="n">
        <v>0</v>
      </c>
      <c r="AB29" s="0" t="n">
        <v>7</v>
      </c>
      <c r="AC29" s="0" t="s">
        <v>86</v>
      </c>
      <c r="AD29" s="0" t="n">
        <v>100000</v>
      </c>
      <c r="AE29" s="0" t="n">
        <v>84304.3</v>
      </c>
      <c r="AF29" s="0" t="n">
        <v>84304.3</v>
      </c>
      <c r="AG29" s="0" t="n">
        <v>0.00263</v>
      </c>
      <c r="AH29" s="4" t="b">
        <f aca="false">FALSE()</f>
        <v>0</v>
      </c>
      <c r="AJ29" s="4" t="b">
        <f aca="false">FALSE()</f>
        <v>0</v>
      </c>
      <c r="AK29" s="4" t="b">
        <f aca="false">FALSE()</f>
        <v>0</v>
      </c>
      <c r="AL29" s="0" t="s">
        <v>67</v>
      </c>
      <c r="AM29" s="0" t="n">
        <v>4.4419</v>
      </c>
      <c r="AN29" s="0" t="n">
        <v>-4.1492</v>
      </c>
      <c r="AO29" s="0" t="n">
        <v>9.1764</v>
      </c>
      <c r="AP29" s="0" t="n">
        <v>-8.0057</v>
      </c>
      <c r="AQ29" s="0" t="n">
        <v>19.5235</v>
      </c>
      <c r="AR29" s="0" t="n">
        <v>-14.8406</v>
      </c>
    </row>
    <row r="30" customFormat="false" ht="15" hidden="false" customHeight="false" outlineLevel="0" collapsed="false">
      <c r="A30" s="0" t="s">
        <v>182</v>
      </c>
      <c r="B30" s="0" t="s">
        <v>183</v>
      </c>
      <c r="C30" s="0" t="s">
        <v>58</v>
      </c>
      <c r="D30" s="0" t="s">
        <v>59</v>
      </c>
      <c r="E30" s="0" t="s">
        <v>60</v>
      </c>
      <c r="F30" s="0" t="s">
        <v>61</v>
      </c>
      <c r="G30" s="0" t="n">
        <v>100</v>
      </c>
      <c r="H30" s="0" t="n">
        <v>0.0559</v>
      </c>
      <c r="I30" s="0" t="n">
        <v>2</v>
      </c>
      <c r="J30" s="0" t="s">
        <v>62</v>
      </c>
      <c r="K30" s="0" t="s">
        <v>184</v>
      </c>
      <c r="L30" s="0" t="s">
        <v>185</v>
      </c>
      <c r="M30" s="0" t="s">
        <v>65</v>
      </c>
      <c r="N30" s="0" t="n">
        <v>21.8398</v>
      </c>
      <c r="O30" s="0" t="n">
        <v>28</v>
      </c>
      <c r="P30" s="0" t="n">
        <v>0.0731</v>
      </c>
      <c r="Q30" s="0" t="n">
        <v>81.4967</v>
      </c>
      <c r="R30" s="0" t="n">
        <v>0.0273</v>
      </c>
      <c r="S30" s="0" t="n">
        <v>82.7274</v>
      </c>
      <c r="T30" s="0" t="n">
        <v>11.7892</v>
      </c>
      <c r="U30" s="0" t="n">
        <v>11.3735</v>
      </c>
      <c r="V30" s="0" t="n">
        <v>189.5821</v>
      </c>
      <c r="W30" s="0" t="n">
        <v>0.0927</v>
      </c>
      <c r="X30" s="0" t="n">
        <v>11.3735</v>
      </c>
      <c r="Y30" s="0" t="n">
        <v>189.5821</v>
      </c>
      <c r="Z30" s="0" t="n">
        <v>0</v>
      </c>
      <c r="AA30" s="0" t="n">
        <v>0</v>
      </c>
      <c r="AB30" s="0" t="n">
        <v>7</v>
      </c>
      <c r="AC30" s="0" t="s">
        <v>72</v>
      </c>
      <c r="AD30" s="0" t="n">
        <v>200000</v>
      </c>
      <c r="AE30" s="0" t="n">
        <v>162993.4</v>
      </c>
      <c r="AF30" s="0" t="n">
        <v>162993.4</v>
      </c>
      <c r="AG30" s="0" t="n">
        <v>0.005084</v>
      </c>
      <c r="AH30" s="4" t="b">
        <f aca="false">FALSE()</f>
        <v>0</v>
      </c>
      <c r="AJ30" s="4" t="b">
        <f aca="false">FALSE()</f>
        <v>0</v>
      </c>
      <c r="AK30" s="4" t="b">
        <f aca="false">FALSE()</f>
        <v>0</v>
      </c>
      <c r="AL30" s="0" t="s">
        <v>67</v>
      </c>
      <c r="AM30" s="0" t="n">
        <v>4.8276</v>
      </c>
      <c r="AN30" s="0" t="n">
        <v>-4.4414</v>
      </c>
      <c r="AO30" s="0" t="n">
        <v>10.0415</v>
      </c>
      <c r="AP30" s="0" t="n">
        <v>-8.4965</v>
      </c>
      <c r="AQ30" s="0" t="n">
        <v>21.6281</v>
      </c>
      <c r="AR30" s="0" t="n">
        <v>-15.448</v>
      </c>
    </row>
    <row r="31" customFormat="false" ht="15" hidden="false" customHeight="false" outlineLevel="0" collapsed="false">
      <c r="A31" s="0" t="s">
        <v>186</v>
      </c>
      <c r="B31" s="0" t="s">
        <v>187</v>
      </c>
      <c r="C31" s="0" t="s">
        <v>58</v>
      </c>
      <c r="D31" s="0" t="s">
        <v>59</v>
      </c>
      <c r="E31" s="0" t="s">
        <v>60</v>
      </c>
      <c r="F31" s="0" t="s">
        <v>61</v>
      </c>
      <c r="G31" s="0" t="n">
        <v>100</v>
      </c>
      <c r="H31" s="0" t="n">
        <v>0.0563</v>
      </c>
      <c r="I31" s="0" t="n">
        <v>2</v>
      </c>
      <c r="J31" s="0" t="s">
        <v>62</v>
      </c>
      <c r="K31" s="0" t="s">
        <v>188</v>
      </c>
      <c r="L31" s="0" t="s">
        <v>189</v>
      </c>
      <c r="M31" s="0" t="s">
        <v>65</v>
      </c>
      <c r="N31" s="0" t="n">
        <v>21.4456</v>
      </c>
      <c r="O31" s="0" t="n">
        <v>29</v>
      </c>
      <c r="P31" s="0" t="n">
        <v>0.0691</v>
      </c>
      <c r="Q31" s="0" t="n">
        <v>85.9242</v>
      </c>
      <c r="R31" s="0" t="n">
        <v>0.9559</v>
      </c>
      <c r="S31" s="0" t="n">
        <v>86.4933</v>
      </c>
      <c r="T31" s="0" t="n">
        <v>11.8749</v>
      </c>
      <c r="U31" s="0" t="n">
        <v>11.4783</v>
      </c>
      <c r="V31" s="0" t="n">
        <v>189.8718</v>
      </c>
      <c r="W31" s="0" t="n">
        <v>0.0986</v>
      </c>
      <c r="X31" s="0" t="n">
        <v>11.4783</v>
      </c>
      <c r="Y31" s="0" t="n">
        <v>189.8718</v>
      </c>
      <c r="Z31" s="0" t="n">
        <v>0</v>
      </c>
      <c r="AA31" s="0" t="n">
        <v>0</v>
      </c>
      <c r="AB31" s="0" t="n">
        <v>0</v>
      </c>
      <c r="AC31" s="0" t="s">
        <v>72</v>
      </c>
      <c r="AD31" s="0" t="n">
        <v>200000</v>
      </c>
      <c r="AE31" s="0" t="n">
        <v>171848.4</v>
      </c>
      <c r="AF31" s="0" t="n">
        <v>171848.4</v>
      </c>
      <c r="AG31" s="0" t="n">
        <v>0.00536</v>
      </c>
      <c r="AH31" s="4" t="b">
        <f aca="false">FALSE()</f>
        <v>0</v>
      </c>
      <c r="AJ31" s="4" t="b">
        <f aca="false">FALSE()</f>
        <v>0</v>
      </c>
      <c r="AK31" s="4" t="b">
        <f aca="false">FALSE()</f>
        <v>0</v>
      </c>
      <c r="AL31" s="0" t="s">
        <v>67</v>
      </c>
      <c r="AM31" s="0" t="n">
        <v>5.1353</v>
      </c>
      <c r="AN31" s="0" t="n">
        <v>-4.7274</v>
      </c>
      <c r="AO31" s="0" t="n">
        <v>10.6784</v>
      </c>
      <c r="AP31" s="0" t="n">
        <v>-9.0469</v>
      </c>
      <c r="AQ31" s="0" t="n">
        <v>22.9882</v>
      </c>
      <c r="AR31" s="0" t="n">
        <v>-16.4624</v>
      </c>
    </row>
    <row r="32" customFormat="false" ht="15" hidden="false" customHeight="false" outlineLevel="0" collapsed="false">
      <c r="A32" s="0" t="s">
        <v>190</v>
      </c>
      <c r="B32" s="0" t="s">
        <v>191</v>
      </c>
      <c r="C32" s="0" t="s">
        <v>58</v>
      </c>
      <c r="D32" s="0" t="s">
        <v>59</v>
      </c>
      <c r="E32" s="0" t="s">
        <v>60</v>
      </c>
      <c r="F32" s="0" t="s">
        <v>61</v>
      </c>
      <c r="G32" s="0" t="n">
        <v>100</v>
      </c>
      <c r="H32" s="0" t="n">
        <v>0.0539</v>
      </c>
      <c r="I32" s="0" t="n">
        <v>2</v>
      </c>
      <c r="J32" s="0" t="s">
        <v>62</v>
      </c>
      <c r="K32" s="0" t="s">
        <v>192</v>
      </c>
      <c r="L32" s="0" t="s">
        <v>193</v>
      </c>
      <c r="M32" s="0" t="s">
        <v>65</v>
      </c>
      <c r="N32" s="0" t="n">
        <v>27.8467</v>
      </c>
      <c r="O32" s="0" t="n">
        <v>31</v>
      </c>
      <c r="P32" s="0" t="n">
        <v>0.0677</v>
      </c>
      <c r="Q32" s="0" t="n">
        <v>82.8828</v>
      </c>
      <c r="R32" s="0" t="n">
        <v>0.2852</v>
      </c>
      <c r="S32" s="0" t="n">
        <v>83.3232</v>
      </c>
      <c r="T32" s="0" t="n">
        <v>13.4021</v>
      </c>
      <c r="U32" s="0" t="n">
        <v>12.9633</v>
      </c>
      <c r="V32" s="0" t="n">
        <v>259.4126</v>
      </c>
      <c r="W32" s="0" t="n">
        <v>0.1074</v>
      </c>
      <c r="X32" s="0" t="n">
        <v>12.9633</v>
      </c>
      <c r="Y32" s="0" t="n">
        <v>259.4126</v>
      </c>
      <c r="Z32" s="0" t="n">
        <v>0</v>
      </c>
      <c r="AA32" s="0" t="n">
        <v>0</v>
      </c>
      <c r="AB32" s="0" t="n">
        <v>7</v>
      </c>
      <c r="AC32" s="0" t="s">
        <v>72</v>
      </c>
      <c r="AD32" s="0" t="n">
        <v>20000</v>
      </c>
      <c r="AE32" s="0" t="n">
        <v>16576.56</v>
      </c>
      <c r="AF32" s="0" t="n">
        <v>16576.56</v>
      </c>
      <c r="AG32" s="0" t="n">
        <v>0.000517</v>
      </c>
      <c r="AH32" s="4" t="b">
        <f aca="false">FALSE()</f>
        <v>0</v>
      </c>
      <c r="AJ32" s="4" t="b">
        <f aca="false">FALSE()</f>
        <v>0</v>
      </c>
      <c r="AK32" s="4" t="b">
        <f aca="false">FALSE()</f>
        <v>0</v>
      </c>
      <c r="AL32" s="0" t="s">
        <v>67</v>
      </c>
      <c r="AM32" s="0" t="n">
        <v>5.6409</v>
      </c>
      <c r="AN32" s="0" t="n">
        <v>-5.1034</v>
      </c>
      <c r="AO32" s="0" t="n">
        <v>11.8194</v>
      </c>
      <c r="AP32" s="0" t="n">
        <v>-9.6693</v>
      </c>
      <c r="AQ32" s="0" t="n">
        <v>25.7889</v>
      </c>
      <c r="AR32" s="0" t="n">
        <v>-17.1885</v>
      </c>
    </row>
    <row r="33" customFormat="false" ht="15" hidden="false" customHeight="false" outlineLevel="0" collapsed="false">
      <c r="A33" s="0" t="s">
        <v>194</v>
      </c>
      <c r="B33" s="0" t="s">
        <v>195</v>
      </c>
      <c r="C33" s="0" t="s">
        <v>58</v>
      </c>
      <c r="D33" s="0" t="s">
        <v>59</v>
      </c>
      <c r="E33" s="0" t="s">
        <v>60</v>
      </c>
      <c r="F33" s="0" t="s">
        <v>61</v>
      </c>
      <c r="G33" s="0" t="n">
        <v>100</v>
      </c>
      <c r="H33" s="0" t="n">
        <v>0.0723</v>
      </c>
      <c r="I33" s="0" t="n">
        <v>2</v>
      </c>
      <c r="J33" s="0" t="s">
        <v>62</v>
      </c>
      <c r="K33" s="0" t="s">
        <v>196</v>
      </c>
      <c r="L33" s="0" t="s">
        <v>197</v>
      </c>
      <c r="M33" s="0" t="s">
        <v>65</v>
      </c>
      <c r="N33" s="0" t="n">
        <v>1.2375</v>
      </c>
      <c r="O33" s="0" t="n">
        <v>4</v>
      </c>
      <c r="P33" s="0" t="n">
        <v>0.075</v>
      </c>
      <c r="Q33" s="0" t="n">
        <v>99.7445</v>
      </c>
      <c r="R33" s="0" t="n">
        <v>1.5169</v>
      </c>
      <c r="S33" s="0" t="n">
        <v>100.8676</v>
      </c>
      <c r="T33" s="0" t="n">
        <v>0.9825</v>
      </c>
      <c r="U33" s="0" t="n">
        <v>0.947</v>
      </c>
      <c r="V33" s="0" t="n">
        <v>1.3611</v>
      </c>
      <c r="W33" s="0" t="n">
        <v>0.0094</v>
      </c>
      <c r="X33" s="0" t="n">
        <v>0.947</v>
      </c>
      <c r="Y33" s="0" t="n">
        <v>1.3611</v>
      </c>
      <c r="Z33" s="0" t="n">
        <v>0</v>
      </c>
      <c r="AA33" s="0" t="n">
        <v>0</v>
      </c>
      <c r="AB33" s="0" t="n">
        <v>2</v>
      </c>
      <c r="AC33" s="0" t="s">
        <v>91</v>
      </c>
      <c r="AD33" s="0" t="n">
        <v>10000</v>
      </c>
      <c r="AE33" s="0" t="n">
        <v>9974.45</v>
      </c>
      <c r="AF33" s="0" t="n">
        <v>9974.45</v>
      </c>
      <c r="AG33" s="0" t="n">
        <v>0.000311</v>
      </c>
      <c r="AH33" s="4" t="b">
        <f aca="false">FALSE()</f>
        <v>0</v>
      </c>
      <c r="AJ33" s="4" t="b">
        <f aca="false">FALSE()</f>
        <v>0</v>
      </c>
      <c r="AK33" s="4" t="b">
        <f aca="false">FALSE()</f>
        <v>0</v>
      </c>
      <c r="AL33" s="0" t="s">
        <v>67</v>
      </c>
      <c r="AM33" s="0" t="n">
        <v>0.474</v>
      </c>
      <c r="AN33" s="0" t="n">
        <v>-0.4706</v>
      </c>
      <c r="AO33" s="0" t="n">
        <v>0.9514</v>
      </c>
      <c r="AP33" s="0" t="n">
        <v>-0.9378</v>
      </c>
      <c r="AQ33" s="0" t="n">
        <v>1.9163</v>
      </c>
      <c r="AR33" s="0" t="n">
        <v>-1.862</v>
      </c>
    </row>
    <row r="34" customFormat="false" ht="15" hidden="false" customHeight="false" outlineLevel="0" collapsed="false">
      <c r="A34" s="0" t="s">
        <v>198</v>
      </c>
      <c r="B34" s="0" t="s">
        <v>199</v>
      </c>
      <c r="C34" s="0" t="s">
        <v>58</v>
      </c>
      <c r="D34" s="0" t="s">
        <v>59</v>
      </c>
      <c r="E34" s="0" t="s">
        <v>60</v>
      </c>
      <c r="F34" s="0" t="s">
        <v>61</v>
      </c>
      <c r="G34" s="0" t="n">
        <v>100</v>
      </c>
      <c r="H34" s="0" t="n">
        <v>0.0775</v>
      </c>
      <c r="I34" s="0" t="n">
        <v>2</v>
      </c>
      <c r="J34" s="0" t="s">
        <v>62</v>
      </c>
      <c r="K34" s="0" t="s">
        <v>200</v>
      </c>
      <c r="L34" s="0" t="s">
        <v>201</v>
      </c>
      <c r="M34" s="0" t="s">
        <v>65</v>
      </c>
      <c r="N34" s="0" t="n">
        <v>2.2779</v>
      </c>
      <c r="O34" s="0" t="n">
        <v>9</v>
      </c>
      <c r="P34" s="0" t="n">
        <v>0.0667</v>
      </c>
      <c r="Q34" s="0" t="n">
        <v>101.9913</v>
      </c>
      <c r="R34" s="0" t="n">
        <v>0.2094</v>
      </c>
      <c r="S34" s="0" t="n">
        <v>102.0411</v>
      </c>
      <c r="T34" s="0" t="n">
        <v>1.8921</v>
      </c>
      <c r="U34" s="0" t="n">
        <v>1.831</v>
      </c>
      <c r="V34" s="0" t="n">
        <v>4.3464</v>
      </c>
      <c r="W34" s="0" t="n">
        <v>0.0187</v>
      </c>
      <c r="X34" s="0" t="n">
        <v>1.831</v>
      </c>
      <c r="Y34" s="0" t="n">
        <v>4.3464</v>
      </c>
      <c r="Z34" s="0" t="n">
        <v>0</v>
      </c>
      <c r="AA34" s="0" t="n">
        <v>0</v>
      </c>
      <c r="AB34" s="0" t="n">
        <v>4</v>
      </c>
      <c r="AC34" s="0" t="s">
        <v>66</v>
      </c>
      <c r="AD34" s="0" t="n">
        <v>20000</v>
      </c>
      <c r="AE34" s="0" t="n">
        <v>20398.26</v>
      </c>
      <c r="AF34" s="0" t="n">
        <v>20398.26</v>
      </c>
      <c r="AG34" s="0" t="n">
        <v>0.000636</v>
      </c>
      <c r="AH34" s="4" t="b">
        <f aca="false">FALSE()</f>
        <v>0</v>
      </c>
      <c r="AJ34" s="4" t="b">
        <f aca="false">FALSE()</f>
        <v>0</v>
      </c>
      <c r="AK34" s="4" t="b">
        <f aca="false">FALSE()</f>
        <v>0</v>
      </c>
      <c r="AL34" s="0" t="s">
        <v>67</v>
      </c>
      <c r="AM34" s="0" t="n">
        <v>0.9393</v>
      </c>
      <c r="AN34" s="0" t="n">
        <v>-0.9282</v>
      </c>
      <c r="AO34" s="0" t="n">
        <v>1.8896</v>
      </c>
      <c r="AP34" s="0" t="n">
        <v>-1.8453</v>
      </c>
      <c r="AQ34" s="0" t="n">
        <v>3.8236</v>
      </c>
      <c r="AR34" s="0" t="n">
        <v>-3.6463</v>
      </c>
    </row>
    <row r="35" customFormat="false" ht="15" hidden="false" customHeight="false" outlineLevel="0" collapsed="false">
      <c r="A35" s="0" t="s">
        <v>202</v>
      </c>
      <c r="B35" s="0" t="s">
        <v>203</v>
      </c>
      <c r="C35" s="0" t="s">
        <v>58</v>
      </c>
      <c r="D35" s="0" t="s">
        <v>59</v>
      </c>
      <c r="E35" s="0" t="s">
        <v>60</v>
      </c>
      <c r="F35" s="0" t="s">
        <v>61</v>
      </c>
      <c r="G35" s="0" t="n">
        <v>100</v>
      </c>
      <c r="H35" s="0" t="n">
        <v>0.0727</v>
      </c>
      <c r="I35" s="0" t="n">
        <v>2</v>
      </c>
      <c r="J35" s="0" t="s">
        <v>62</v>
      </c>
      <c r="K35" s="0" t="s">
        <v>204</v>
      </c>
      <c r="L35" s="0" t="s">
        <v>205</v>
      </c>
      <c r="M35" s="0" t="s">
        <v>65</v>
      </c>
      <c r="N35" s="0" t="n">
        <v>26.1355</v>
      </c>
      <c r="O35" s="0" t="n">
        <v>38</v>
      </c>
      <c r="P35" s="0" t="n">
        <v>0.0686</v>
      </c>
      <c r="Q35" s="0" t="n">
        <v>104.9419</v>
      </c>
      <c r="R35" s="0" t="n">
        <v>1.2023</v>
      </c>
      <c r="S35" s="0" t="n">
        <v>105.0672</v>
      </c>
      <c r="T35" s="0" t="n">
        <v>12.3334</v>
      </c>
      <c r="U35" s="0" t="n">
        <v>11.9244</v>
      </c>
      <c r="V35" s="0" t="n">
        <v>220.3899</v>
      </c>
      <c r="W35" s="0" t="n">
        <v>0.1251</v>
      </c>
      <c r="X35" s="0" t="n">
        <v>11.9244</v>
      </c>
      <c r="Y35" s="0" t="n">
        <v>220.3899</v>
      </c>
      <c r="Z35" s="0" t="n">
        <v>0</v>
      </c>
      <c r="AA35" s="0" t="n">
        <v>0</v>
      </c>
      <c r="AB35" s="0" t="n">
        <v>5</v>
      </c>
      <c r="AC35" s="0" t="s">
        <v>72</v>
      </c>
      <c r="AD35" s="0" t="n">
        <v>50000</v>
      </c>
      <c r="AE35" s="0" t="n">
        <v>52470.95</v>
      </c>
      <c r="AF35" s="0" t="n">
        <v>52470.95</v>
      </c>
      <c r="AG35" s="0" t="n">
        <v>0.001637</v>
      </c>
      <c r="AH35" s="4" t="b">
        <f aca="false">FALSE()</f>
        <v>0</v>
      </c>
      <c r="AJ35" s="4" t="b">
        <f aca="false">FALSE()</f>
        <v>0</v>
      </c>
      <c r="AK35" s="4" t="b">
        <f aca="false">FALSE()</f>
        <v>0</v>
      </c>
      <c r="AL35" s="0" t="s">
        <v>67</v>
      </c>
      <c r="AM35" s="0" t="n">
        <v>6.5459</v>
      </c>
      <c r="AN35" s="0" t="n">
        <v>-5.9677</v>
      </c>
      <c r="AO35" s="0" t="n">
        <v>13.6701</v>
      </c>
      <c r="AP35" s="0" t="n">
        <v>-11.3573</v>
      </c>
      <c r="AQ35" s="0" t="n">
        <v>29.653</v>
      </c>
      <c r="AR35" s="0" t="n">
        <v>-20.4018</v>
      </c>
    </row>
    <row r="36" customFormat="false" ht="15" hidden="false" customHeight="false" outlineLevel="0" collapsed="false">
      <c r="A36" s="0" t="s">
        <v>206</v>
      </c>
      <c r="B36" s="0" t="s">
        <v>207</v>
      </c>
      <c r="C36" s="0" t="s">
        <v>58</v>
      </c>
      <c r="D36" s="0" t="s">
        <v>59</v>
      </c>
      <c r="E36" s="0" t="s">
        <v>60</v>
      </c>
      <c r="F36" s="0" t="s">
        <v>61</v>
      </c>
      <c r="G36" s="0" t="n">
        <v>100</v>
      </c>
      <c r="H36" s="0" t="n">
        <v>0.0775</v>
      </c>
      <c r="I36" s="0" t="n">
        <v>2</v>
      </c>
      <c r="J36" s="0" t="s">
        <v>62</v>
      </c>
      <c r="K36" s="0" t="s">
        <v>208</v>
      </c>
      <c r="L36" s="0" t="s">
        <v>209</v>
      </c>
      <c r="M36" s="0" t="s">
        <v>65</v>
      </c>
      <c r="N36" s="0" t="n">
        <v>9.5633</v>
      </c>
      <c r="O36" s="0" t="n">
        <v>19</v>
      </c>
      <c r="P36" s="0" t="n">
        <v>0.0747</v>
      </c>
      <c r="Q36" s="0" t="n">
        <v>101.8808</v>
      </c>
      <c r="R36" s="0" t="n">
        <v>0.9368</v>
      </c>
      <c r="S36" s="0" t="n">
        <v>102.7247</v>
      </c>
      <c r="T36" s="0" t="n">
        <v>6.9218</v>
      </c>
      <c r="U36" s="0" t="n">
        <v>6.6726</v>
      </c>
      <c r="V36" s="0" t="n">
        <v>57.1273</v>
      </c>
      <c r="W36" s="0" t="n">
        <v>0.068</v>
      </c>
      <c r="X36" s="0" t="n">
        <v>6.6726</v>
      </c>
      <c r="Y36" s="0" t="n">
        <v>57.1273</v>
      </c>
      <c r="Z36" s="0" t="n">
        <v>0</v>
      </c>
      <c r="AA36" s="0" t="n">
        <v>0</v>
      </c>
      <c r="AB36" s="0" t="n">
        <v>3</v>
      </c>
      <c r="AC36" s="0" t="s">
        <v>210</v>
      </c>
      <c r="AD36" s="0" t="n">
        <v>500000</v>
      </c>
      <c r="AE36" s="0" t="n">
        <v>509404</v>
      </c>
      <c r="AF36" s="0" t="n">
        <v>509404</v>
      </c>
      <c r="AG36" s="0" t="n">
        <v>0.015889</v>
      </c>
      <c r="AH36" s="4" t="b">
        <f aca="false">FALSE()</f>
        <v>0</v>
      </c>
      <c r="AJ36" s="4" t="b">
        <f aca="false">FALSE()</f>
        <v>0</v>
      </c>
      <c r="AK36" s="4" t="b">
        <f aca="false">FALSE()</f>
        <v>0</v>
      </c>
      <c r="AL36" s="0" t="s">
        <v>67</v>
      </c>
      <c r="AM36" s="0" t="n">
        <v>3.4718</v>
      </c>
      <c r="AN36" s="0" t="n">
        <v>-3.3263</v>
      </c>
      <c r="AO36" s="0" t="n">
        <v>7.0891</v>
      </c>
      <c r="AP36" s="0" t="n">
        <v>-6.5071</v>
      </c>
      <c r="AQ36" s="0" t="n">
        <v>14.7602</v>
      </c>
      <c r="AR36" s="0" t="n">
        <v>-12.4322</v>
      </c>
    </row>
    <row r="37" customFormat="false" ht="15" hidden="false" customHeight="false" outlineLevel="0" collapsed="false">
      <c r="A37" s="0" t="s">
        <v>211</v>
      </c>
      <c r="B37" s="0" t="s">
        <v>212</v>
      </c>
      <c r="C37" s="0" t="s">
        <v>58</v>
      </c>
      <c r="D37" s="0" t="s">
        <v>59</v>
      </c>
      <c r="E37" s="0" t="s">
        <v>60</v>
      </c>
      <c r="F37" s="0" t="s">
        <v>61</v>
      </c>
      <c r="G37" s="0" t="n">
        <v>100</v>
      </c>
      <c r="H37" s="0" t="n">
        <v>0.0508</v>
      </c>
      <c r="I37" s="0" t="n">
        <v>2</v>
      </c>
      <c r="J37" s="0" t="s">
        <v>62</v>
      </c>
      <c r="K37" s="0" t="s">
        <v>192</v>
      </c>
      <c r="L37" s="0" t="s">
        <v>213</v>
      </c>
      <c r="M37" s="0" t="s">
        <v>65</v>
      </c>
      <c r="N37" s="0" t="n">
        <v>18.8528</v>
      </c>
      <c r="O37" s="0" t="n">
        <v>22</v>
      </c>
      <c r="P37" s="0" t="n">
        <v>0.0672</v>
      </c>
      <c r="Q37" s="0" t="n">
        <v>82.7803</v>
      </c>
      <c r="R37" s="0" t="n">
        <v>0.3281</v>
      </c>
      <c r="S37" s="0" t="n">
        <v>83.1355</v>
      </c>
      <c r="T37" s="0" t="n">
        <v>11.5164</v>
      </c>
      <c r="U37" s="0" t="n">
        <v>11.142</v>
      </c>
      <c r="V37" s="0" t="n">
        <v>170.708</v>
      </c>
      <c r="W37" s="0" t="n">
        <v>0.0922</v>
      </c>
      <c r="X37" s="0" t="n">
        <v>11.142</v>
      </c>
      <c r="Y37" s="0" t="n">
        <v>170.708</v>
      </c>
      <c r="Z37" s="0" t="n">
        <v>0</v>
      </c>
      <c r="AA37" s="0" t="n">
        <v>0</v>
      </c>
      <c r="AB37" s="0" t="n">
        <v>3</v>
      </c>
      <c r="AC37" s="0" t="s">
        <v>86</v>
      </c>
      <c r="AD37" s="0" t="n">
        <v>500000</v>
      </c>
      <c r="AE37" s="0" t="n">
        <v>413901.5</v>
      </c>
      <c r="AF37" s="0" t="n">
        <v>413901.5</v>
      </c>
      <c r="AG37" s="0" t="n">
        <v>0.01291</v>
      </c>
      <c r="AH37" s="4" t="b">
        <f aca="false">FALSE()</f>
        <v>0</v>
      </c>
      <c r="AJ37" s="4" t="b">
        <f aca="false">FALSE()</f>
        <v>0</v>
      </c>
      <c r="AK37" s="4" t="b">
        <f aca="false">FALSE()</f>
        <v>0</v>
      </c>
      <c r="AL37" s="0" t="s">
        <v>67</v>
      </c>
      <c r="AM37" s="0" t="n">
        <v>4.7883</v>
      </c>
      <c r="AN37" s="0" t="n">
        <v>-4.435</v>
      </c>
      <c r="AO37" s="0" t="n">
        <v>9.9299</v>
      </c>
      <c r="AP37" s="0" t="n">
        <v>-8.5168</v>
      </c>
      <c r="AQ37" s="0" t="n">
        <v>21.273</v>
      </c>
      <c r="AR37" s="0" t="n">
        <v>-15.6205</v>
      </c>
    </row>
    <row r="38" customFormat="false" ht="15" hidden="false" customHeight="false" outlineLevel="0" collapsed="false">
      <c r="A38" s="0" t="s">
        <v>214</v>
      </c>
      <c r="B38" s="0" t="s">
        <v>215</v>
      </c>
      <c r="C38" s="0" t="s">
        <v>58</v>
      </c>
      <c r="D38" s="0" t="s">
        <v>59</v>
      </c>
      <c r="E38" s="0" t="s">
        <v>60</v>
      </c>
      <c r="F38" s="0" t="s">
        <v>61</v>
      </c>
      <c r="G38" s="0" t="n">
        <v>100</v>
      </c>
      <c r="H38" s="0" t="n">
        <v>0.0684</v>
      </c>
      <c r="I38" s="0" t="n">
        <v>2</v>
      </c>
      <c r="J38" s="0" t="s">
        <v>62</v>
      </c>
      <c r="K38" s="0" t="s">
        <v>216</v>
      </c>
      <c r="L38" s="0" t="s">
        <v>217</v>
      </c>
      <c r="M38" s="0" t="s">
        <v>65</v>
      </c>
      <c r="N38" s="0" t="n">
        <v>25.9849</v>
      </c>
      <c r="O38" s="0" t="n">
        <v>33</v>
      </c>
      <c r="P38" s="0" t="n">
        <v>0.0652</v>
      </c>
      <c r="Q38" s="0" t="n">
        <v>103.9522</v>
      </c>
      <c r="R38" s="0" t="n">
        <v>0.3789</v>
      </c>
      <c r="S38" s="0" t="n">
        <v>105.1352</v>
      </c>
      <c r="T38" s="0" t="n">
        <v>12.636</v>
      </c>
      <c r="U38" s="0" t="n">
        <v>12.2371</v>
      </c>
      <c r="V38" s="0" t="n">
        <v>227.7411</v>
      </c>
      <c r="W38" s="0" t="n">
        <v>0.1272</v>
      </c>
      <c r="X38" s="0" t="n">
        <v>12.2371</v>
      </c>
      <c r="Y38" s="0" t="n">
        <v>227.7411</v>
      </c>
      <c r="Z38" s="0" t="n">
        <v>0</v>
      </c>
      <c r="AA38" s="0" t="n">
        <v>0</v>
      </c>
      <c r="AB38" s="0" t="n">
        <v>4</v>
      </c>
      <c r="AC38" s="0" t="s">
        <v>72</v>
      </c>
      <c r="AD38" s="0" t="n">
        <v>20000</v>
      </c>
      <c r="AE38" s="0" t="n">
        <v>20790.44</v>
      </c>
      <c r="AF38" s="0" t="n">
        <v>20790.44</v>
      </c>
      <c r="AG38" s="0" t="n">
        <v>0.000648</v>
      </c>
      <c r="AH38" s="4" t="b">
        <f aca="false">FALSE()</f>
        <v>0</v>
      </c>
      <c r="AJ38" s="4" t="b">
        <f aca="false">FALSE()</f>
        <v>0</v>
      </c>
      <c r="AK38" s="4" t="b">
        <f aca="false">FALSE()</f>
        <v>0</v>
      </c>
      <c r="AL38" s="0" t="s">
        <v>67</v>
      </c>
      <c r="AM38" s="0" t="n">
        <v>6.6563</v>
      </c>
      <c r="AN38" s="0" t="n">
        <v>-6.0644</v>
      </c>
      <c r="AO38" s="0" t="n">
        <v>13.9044</v>
      </c>
      <c r="AP38" s="0" t="n">
        <v>-11.537</v>
      </c>
      <c r="AQ38" s="0" t="n">
        <v>30.1763</v>
      </c>
      <c r="AR38" s="0" t="n">
        <v>-20.7066</v>
      </c>
    </row>
    <row r="39" customFormat="false" ht="15" hidden="false" customHeight="false" outlineLevel="0" collapsed="false">
      <c r="A39" s="0" t="s">
        <v>218</v>
      </c>
      <c r="B39" s="0" t="s">
        <v>219</v>
      </c>
      <c r="C39" s="0" t="s">
        <v>58</v>
      </c>
      <c r="D39" s="0" t="s">
        <v>59</v>
      </c>
      <c r="E39" s="0" t="s">
        <v>60</v>
      </c>
      <c r="F39" s="0" t="s">
        <v>61</v>
      </c>
      <c r="G39" s="0" t="n">
        <v>100</v>
      </c>
      <c r="H39" s="0" t="n">
        <v>0.07</v>
      </c>
      <c r="I39" s="0" t="n">
        <v>2</v>
      </c>
      <c r="J39" s="0" t="s">
        <v>62</v>
      </c>
      <c r="K39" s="0" t="s">
        <v>220</v>
      </c>
      <c r="L39" s="0" t="s">
        <v>221</v>
      </c>
      <c r="M39" s="0" t="s">
        <v>65</v>
      </c>
      <c r="N39" s="0" t="n">
        <v>14.0452</v>
      </c>
      <c r="O39" s="0" t="n">
        <v>19</v>
      </c>
      <c r="P39" s="0" t="n">
        <v>0.0674</v>
      </c>
      <c r="Q39" s="0" t="n">
        <v>102.3326</v>
      </c>
      <c r="R39" s="0" t="n">
        <v>0.337</v>
      </c>
      <c r="S39" s="0" t="n">
        <v>102.5418</v>
      </c>
      <c r="T39" s="0" t="n">
        <v>9.2034</v>
      </c>
      <c r="U39" s="0" t="n">
        <v>8.9034</v>
      </c>
      <c r="V39" s="0" t="n">
        <v>106.108</v>
      </c>
      <c r="W39" s="0" t="n">
        <v>0.0911</v>
      </c>
      <c r="X39" s="0" t="n">
        <v>8.9034</v>
      </c>
      <c r="Y39" s="0" t="n">
        <v>106.108</v>
      </c>
      <c r="Z39" s="0" t="n">
        <v>0</v>
      </c>
      <c r="AA39" s="0" t="n">
        <v>0</v>
      </c>
      <c r="AB39" s="0" t="n">
        <v>0</v>
      </c>
      <c r="AC39" s="0" t="s">
        <v>152</v>
      </c>
      <c r="AD39" s="0" t="n">
        <v>200000</v>
      </c>
      <c r="AE39" s="0" t="n">
        <v>204665.2</v>
      </c>
      <c r="AF39" s="0" t="n">
        <v>204665.2</v>
      </c>
      <c r="AG39" s="0" t="n">
        <v>0.006384</v>
      </c>
      <c r="AH39" s="4" t="b">
        <f aca="false">FALSE()</f>
        <v>0</v>
      </c>
      <c r="AJ39" s="4" t="b">
        <f aca="false">FALSE()</f>
        <v>0</v>
      </c>
      <c r="AK39" s="4" t="b">
        <f aca="false">FALSE()</f>
        <v>0</v>
      </c>
      <c r="AL39" s="0" t="s">
        <v>67</v>
      </c>
      <c r="AM39" s="0" t="n">
        <v>4.6913</v>
      </c>
      <c r="AN39" s="0" t="n">
        <v>-4.4198</v>
      </c>
      <c r="AO39" s="0" t="n">
        <v>9.654</v>
      </c>
      <c r="AP39" s="0" t="n">
        <v>-8.5682</v>
      </c>
      <c r="AQ39" s="0" t="n">
        <v>20.3938</v>
      </c>
      <c r="AR39" s="0" t="n">
        <v>-16.0505</v>
      </c>
    </row>
    <row r="40" customFormat="false" ht="15" hidden="false" customHeight="false" outlineLevel="0" collapsed="false">
      <c r="A40" s="0" t="s">
        <v>222</v>
      </c>
      <c r="B40" s="0" t="s">
        <v>223</v>
      </c>
      <c r="C40" s="0" t="s">
        <v>58</v>
      </c>
      <c r="D40" s="0" t="s">
        <v>59</v>
      </c>
      <c r="E40" s="0" t="s">
        <v>60</v>
      </c>
      <c r="F40" s="0" t="s">
        <v>61</v>
      </c>
      <c r="G40" s="0" t="n">
        <v>100</v>
      </c>
      <c r="H40" s="0" t="n">
        <v>0.0565</v>
      </c>
      <c r="I40" s="0" t="n">
        <v>2</v>
      </c>
      <c r="J40" s="0" t="s">
        <v>62</v>
      </c>
      <c r="K40" s="0" t="s">
        <v>224</v>
      </c>
      <c r="L40" s="0" t="s">
        <v>225</v>
      </c>
      <c r="M40" s="0" t="s">
        <v>65</v>
      </c>
      <c r="N40" s="0" t="n">
        <v>8.8679</v>
      </c>
      <c r="O40" s="0" t="n">
        <v>13</v>
      </c>
      <c r="P40" s="0" t="n">
        <v>0.0724</v>
      </c>
      <c r="Q40" s="0" t="n">
        <v>90.0369</v>
      </c>
      <c r="R40" s="0" t="n">
        <v>0.3875</v>
      </c>
      <c r="S40" s="0" t="n">
        <v>91.4131</v>
      </c>
      <c r="T40" s="0" t="n">
        <v>6.7604</v>
      </c>
      <c r="U40" s="0" t="n">
        <v>6.5242</v>
      </c>
      <c r="V40" s="0" t="n">
        <v>52.2205</v>
      </c>
      <c r="W40" s="0" t="n">
        <v>0.0587</v>
      </c>
      <c r="X40" s="0" t="n">
        <v>6.5242</v>
      </c>
      <c r="Y40" s="0" t="n">
        <v>52.2205</v>
      </c>
      <c r="Z40" s="0" t="n">
        <v>0</v>
      </c>
      <c r="AA40" s="0" t="n">
        <v>0</v>
      </c>
      <c r="AB40" s="0" t="n">
        <v>4</v>
      </c>
      <c r="AC40" s="0" t="s">
        <v>210</v>
      </c>
      <c r="AD40" s="0" t="n">
        <v>10000</v>
      </c>
      <c r="AE40" s="0" t="n">
        <v>9003.69</v>
      </c>
      <c r="AF40" s="0" t="n">
        <v>9003.69</v>
      </c>
      <c r="AG40" s="0" t="n">
        <v>0.000281</v>
      </c>
      <c r="AH40" s="4" t="b">
        <f aca="false">FALSE()</f>
        <v>0</v>
      </c>
      <c r="AJ40" s="4" t="b">
        <f aca="false">FALSE()</f>
        <v>0</v>
      </c>
      <c r="AK40" s="4" t="b">
        <f aca="false">FALSE()</f>
        <v>0</v>
      </c>
      <c r="AL40" s="0" t="s">
        <v>67</v>
      </c>
      <c r="AM40" s="0" t="n">
        <v>2.9959</v>
      </c>
      <c r="AN40" s="0" t="n">
        <v>-2.8783</v>
      </c>
      <c r="AO40" s="0" t="n">
        <v>6.1093</v>
      </c>
      <c r="AP40" s="0" t="n">
        <v>-5.6391</v>
      </c>
      <c r="AQ40" s="0" t="n">
        <v>12.6887</v>
      </c>
      <c r="AR40" s="0" t="n">
        <v>-10.808</v>
      </c>
    </row>
    <row r="41" customFormat="false" ht="15" hidden="false" customHeight="false" outlineLevel="0" collapsed="false">
      <c r="A41" s="0" t="s">
        <v>226</v>
      </c>
      <c r="B41" s="0" t="s">
        <v>227</v>
      </c>
      <c r="C41" s="0" t="s">
        <v>58</v>
      </c>
      <c r="D41" s="0" t="s">
        <v>59</v>
      </c>
      <c r="E41" s="0" t="s">
        <v>60</v>
      </c>
      <c r="F41" s="0" t="s">
        <v>61</v>
      </c>
      <c r="G41" s="0" t="n">
        <v>100</v>
      </c>
      <c r="H41" s="0" t="n">
        <v>0.0553</v>
      </c>
      <c r="I41" s="0" t="n">
        <v>2</v>
      </c>
      <c r="J41" s="0" t="s">
        <v>62</v>
      </c>
      <c r="K41" s="0" t="s">
        <v>228</v>
      </c>
      <c r="L41" s="0" t="s">
        <v>229</v>
      </c>
      <c r="M41" s="0" t="s">
        <v>65</v>
      </c>
      <c r="N41" s="0" t="n">
        <v>3.488</v>
      </c>
      <c r="O41" s="0" t="n">
        <v>5</v>
      </c>
      <c r="P41" s="0" t="n">
        <v>0.074</v>
      </c>
      <c r="Q41" s="0" t="n">
        <v>95.0504</v>
      </c>
      <c r="R41" s="0" t="n">
        <v>1.1366</v>
      </c>
      <c r="S41" s="0" t="n">
        <v>95.6044</v>
      </c>
      <c r="T41" s="0" t="n">
        <v>2.7994</v>
      </c>
      <c r="U41" s="0" t="n">
        <v>2.6995</v>
      </c>
      <c r="V41" s="0" t="n">
        <v>8.8986</v>
      </c>
      <c r="W41" s="0" t="n">
        <v>0.0257</v>
      </c>
      <c r="X41" s="0" t="n">
        <v>2.6995</v>
      </c>
      <c r="Y41" s="0" t="n">
        <v>8.8986</v>
      </c>
      <c r="Z41" s="0" t="n">
        <v>0</v>
      </c>
      <c r="AA41" s="0" t="n">
        <v>0</v>
      </c>
      <c r="AB41" s="0" t="n">
        <v>-3</v>
      </c>
      <c r="AC41" s="0" t="s">
        <v>230</v>
      </c>
      <c r="AD41" s="0" t="n">
        <v>5000</v>
      </c>
      <c r="AE41" s="0" t="n">
        <v>4752.52</v>
      </c>
      <c r="AF41" s="0" t="n">
        <v>4752.52</v>
      </c>
      <c r="AG41" s="0" t="n">
        <v>0.000148</v>
      </c>
      <c r="AH41" s="4" t="b">
        <f aca="false">FALSE()</f>
        <v>0</v>
      </c>
      <c r="AJ41" s="4" t="b">
        <f aca="false">FALSE()</f>
        <v>0</v>
      </c>
      <c r="AK41" s="4" t="b">
        <f aca="false">FALSE()</f>
        <v>0</v>
      </c>
      <c r="AL41" s="0" t="s">
        <v>67</v>
      </c>
      <c r="AM41" s="0" t="n">
        <v>1.2935</v>
      </c>
      <c r="AN41" s="0" t="n">
        <v>-1.2724</v>
      </c>
      <c r="AO41" s="0" t="n">
        <v>2.6082</v>
      </c>
      <c r="AP41" s="0" t="n">
        <v>-2.5236</v>
      </c>
      <c r="AQ41" s="0" t="n">
        <v>5.3009</v>
      </c>
      <c r="AR41" s="0" t="n">
        <v>-4.9626</v>
      </c>
    </row>
    <row r="42" customFormat="false" ht="15" hidden="false" customHeight="false" outlineLevel="0" collapsed="false">
      <c r="A42" s="0" t="s">
        <v>231</v>
      </c>
      <c r="B42" s="0" t="s">
        <v>232</v>
      </c>
      <c r="C42" s="0" t="s">
        <v>58</v>
      </c>
      <c r="D42" s="0" t="s">
        <v>59</v>
      </c>
      <c r="E42" s="0" t="s">
        <v>60</v>
      </c>
      <c r="F42" s="0" t="s">
        <v>61</v>
      </c>
      <c r="G42" s="0" t="n">
        <v>100</v>
      </c>
      <c r="H42" s="0" t="n">
        <v>0.0673</v>
      </c>
      <c r="I42" s="0" t="n">
        <v>2</v>
      </c>
      <c r="J42" s="0" t="s">
        <v>62</v>
      </c>
      <c r="K42" s="0" t="s">
        <v>233</v>
      </c>
      <c r="L42" s="0" t="s">
        <v>234</v>
      </c>
      <c r="M42" s="0" t="s">
        <v>65</v>
      </c>
      <c r="N42" s="0" t="n">
        <v>4.2519</v>
      </c>
      <c r="O42" s="0" t="n">
        <v>16</v>
      </c>
      <c r="P42" s="0" t="n">
        <v>0.069</v>
      </c>
      <c r="Q42" s="0" t="n">
        <v>99.4145</v>
      </c>
      <c r="R42" s="0" t="n">
        <v>0.5003</v>
      </c>
      <c r="S42" s="0" t="n">
        <v>100.4047</v>
      </c>
      <c r="T42" s="0" t="n">
        <v>3.5712</v>
      </c>
      <c r="U42" s="0" t="n">
        <v>3.4521</v>
      </c>
      <c r="V42" s="0" t="n">
        <v>14.4356</v>
      </c>
      <c r="W42" s="0" t="n">
        <v>0.0343</v>
      </c>
      <c r="X42" s="0" t="n">
        <v>3.4521</v>
      </c>
      <c r="Y42" s="0" t="n">
        <v>14.4356</v>
      </c>
      <c r="Z42" s="0" t="n">
        <v>0</v>
      </c>
      <c r="AA42" s="0" t="n">
        <v>0</v>
      </c>
      <c r="AB42" s="0" t="n">
        <v>8</v>
      </c>
      <c r="AC42" s="0" t="s">
        <v>230</v>
      </c>
      <c r="AD42" s="0" t="n">
        <v>50000</v>
      </c>
      <c r="AE42" s="0" t="n">
        <v>49707.25</v>
      </c>
      <c r="AF42" s="0" t="n">
        <v>49707.25</v>
      </c>
      <c r="AG42" s="0" t="n">
        <v>0.00155</v>
      </c>
      <c r="AH42" s="4" t="b">
        <f aca="false">FALSE()</f>
        <v>0</v>
      </c>
      <c r="AJ42" s="4" t="b">
        <f aca="false">FALSE()</f>
        <v>0</v>
      </c>
      <c r="AK42" s="4" t="b">
        <f aca="false">FALSE()</f>
        <v>0</v>
      </c>
      <c r="AL42" s="0" t="s">
        <v>67</v>
      </c>
      <c r="AM42" s="0" t="n">
        <v>1.7339</v>
      </c>
      <c r="AN42" s="0" t="n">
        <v>-1.698</v>
      </c>
      <c r="AO42" s="0" t="n">
        <v>3.5036</v>
      </c>
      <c r="AP42" s="0" t="n">
        <v>-3.3601</v>
      </c>
      <c r="AQ42" s="0" t="n">
        <v>7.1508</v>
      </c>
      <c r="AR42" s="0" t="n">
        <v>-6.5768</v>
      </c>
    </row>
    <row r="43" customFormat="false" ht="15" hidden="false" customHeight="false" outlineLevel="0" collapsed="false">
      <c r="A43" s="0" t="s">
        <v>235</v>
      </c>
      <c r="B43" s="0" t="s">
        <v>236</v>
      </c>
      <c r="C43" s="0" t="s">
        <v>58</v>
      </c>
      <c r="D43" s="0" t="s">
        <v>59</v>
      </c>
      <c r="E43" s="0" t="s">
        <v>60</v>
      </c>
      <c r="F43" s="0" t="s">
        <v>61</v>
      </c>
      <c r="G43" s="0" t="n">
        <v>100</v>
      </c>
      <c r="H43" s="0" t="n">
        <v>0.0568</v>
      </c>
      <c r="I43" s="0" t="n">
        <v>2</v>
      </c>
      <c r="J43" s="0" t="s">
        <v>62</v>
      </c>
      <c r="K43" s="0" t="s">
        <v>237</v>
      </c>
      <c r="L43" s="0" t="s">
        <v>238</v>
      </c>
      <c r="M43" s="0" t="s">
        <v>65</v>
      </c>
      <c r="N43" s="0" t="n">
        <v>35.3895</v>
      </c>
      <c r="O43" s="0" t="n">
        <v>37</v>
      </c>
      <c r="P43" s="0" t="n">
        <v>0.065</v>
      </c>
      <c r="Q43" s="0" t="n">
        <v>88.7292</v>
      </c>
      <c r="R43" s="0" t="n">
        <v>0.9789</v>
      </c>
      <c r="S43" s="0" t="n">
        <v>89.3965</v>
      </c>
      <c r="T43" s="0" t="n">
        <v>14.5069</v>
      </c>
      <c r="U43" s="0" t="n">
        <v>14.0503</v>
      </c>
      <c r="V43" s="0" t="n">
        <v>324.6857</v>
      </c>
      <c r="W43" s="0" t="n">
        <v>0.1247</v>
      </c>
      <c r="X43" s="0" t="n">
        <v>14.0503</v>
      </c>
      <c r="Y43" s="0" t="n">
        <v>324.6857</v>
      </c>
      <c r="Z43" s="0" t="n">
        <v>0</v>
      </c>
      <c r="AA43" s="0" t="n">
        <v>0</v>
      </c>
      <c r="AB43" s="0" t="n">
        <v>-4</v>
      </c>
      <c r="AC43" s="0" t="s">
        <v>72</v>
      </c>
      <c r="AD43" s="0" t="n">
        <v>50000</v>
      </c>
      <c r="AE43" s="0" t="n">
        <v>44364.6</v>
      </c>
      <c r="AF43" s="0" t="n">
        <v>44364.6</v>
      </c>
      <c r="AG43" s="0" t="n">
        <v>0.001384</v>
      </c>
      <c r="AH43" s="4" t="b">
        <f aca="false">FALSE()</f>
        <v>0</v>
      </c>
      <c r="AJ43" s="4" t="b">
        <f aca="false">FALSE()</f>
        <v>0</v>
      </c>
      <c r="AK43" s="4" t="b">
        <f aca="false">FALSE()</f>
        <v>0</v>
      </c>
      <c r="AL43" s="0" t="s">
        <v>67</v>
      </c>
      <c r="AM43" s="0" t="n">
        <v>6.5935</v>
      </c>
      <c r="AN43" s="0" t="n">
        <v>-5.8732</v>
      </c>
      <c r="AO43" s="0" t="n">
        <v>13.9072</v>
      </c>
      <c r="AP43" s="0" t="n">
        <v>-11.0263</v>
      </c>
      <c r="AQ43" s="0" t="n">
        <v>30.6953</v>
      </c>
      <c r="AR43" s="0" t="n">
        <v>-19.1716</v>
      </c>
    </row>
    <row r="44" customFormat="false" ht="15" hidden="false" customHeight="false" outlineLevel="0" collapsed="false">
      <c r="A44" s="0" t="s">
        <v>239</v>
      </c>
      <c r="B44" s="0" t="s">
        <v>240</v>
      </c>
      <c r="C44" s="0" t="s">
        <v>58</v>
      </c>
      <c r="D44" s="0" t="s">
        <v>59</v>
      </c>
      <c r="E44" s="0" t="s">
        <v>60</v>
      </c>
      <c r="F44" s="0" t="s">
        <v>61</v>
      </c>
      <c r="G44" s="0" t="n">
        <v>100</v>
      </c>
      <c r="H44" s="0" t="n">
        <v>0.0655</v>
      </c>
      <c r="I44" s="0" t="n">
        <v>2</v>
      </c>
      <c r="J44" s="0" t="s">
        <v>62</v>
      </c>
      <c r="K44" s="0" t="s">
        <v>241</v>
      </c>
      <c r="L44" s="0" t="s">
        <v>242</v>
      </c>
      <c r="M44" s="0" t="s">
        <v>65</v>
      </c>
      <c r="N44" s="0" t="n">
        <v>1.4155</v>
      </c>
      <c r="O44" s="0" t="n">
        <v>11</v>
      </c>
      <c r="P44" s="0" t="n">
        <v>0.0737</v>
      </c>
      <c r="Q44" s="0" t="n">
        <v>99.2232</v>
      </c>
      <c r="R44" s="0" t="n">
        <v>0.0977</v>
      </c>
      <c r="S44" s="0" t="n">
        <v>100.5211</v>
      </c>
      <c r="T44" s="0" t="n">
        <v>0.9841</v>
      </c>
      <c r="U44" s="0" t="n">
        <v>0.9491</v>
      </c>
      <c r="V44" s="0" t="n">
        <v>1.3657</v>
      </c>
      <c r="W44" s="0" t="n">
        <v>0.0094</v>
      </c>
      <c r="X44" s="0" t="n">
        <v>0.9491</v>
      </c>
      <c r="Y44" s="0" t="n">
        <v>1.3657</v>
      </c>
      <c r="Z44" s="0" t="n">
        <v>0</v>
      </c>
      <c r="AA44" s="0" t="n">
        <v>0</v>
      </c>
      <c r="AB44" s="0" t="n">
        <v>4</v>
      </c>
      <c r="AC44" s="0" t="s">
        <v>91</v>
      </c>
      <c r="AD44" s="0" t="n">
        <v>5000</v>
      </c>
      <c r="AE44" s="0" t="n">
        <v>4961.16</v>
      </c>
      <c r="AF44" s="0" t="n">
        <v>4961.16</v>
      </c>
      <c r="AG44" s="0" t="n">
        <v>0.000155</v>
      </c>
      <c r="AH44" s="4" t="b">
        <f aca="false">FALSE()</f>
        <v>0</v>
      </c>
      <c r="AJ44" s="4" t="b">
        <f aca="false">FALSE()</f>
        <v>0</v>
      </c>
      <c r="AK44" s="4" t="b">
        <f aca="false">FALSE()</f>
        <v>0</v>
      </c>
      <c r="AL44" s="0" t="s">
        <v>67</v>
      </c>
      <c r="AM44" s="0" t="n">
        <v>0.4726</v>
      </c>
      <c r="AN44" s="0" t="n">
        <v>-0.4692</v>
      </c>
      <c r="AO44" s="0" t="n">
        <v>0.9485</v>
      </c>
      <c r="AP44" s="0" t="n">
        <v>-0.935</v>
      </c>
      <c r="AQ44" s="0" t="n">
        <v>1.9106</v>
      </c>
      <c r="AR44" s="0" t="n">
        <v>-1.8564</v>
      </c>
    </row>
    <row r="45" customFormat="false" ht="15" hidden="false" customHeight="false" outlineLevel="0" collapsed="false">
      <c r="A45" s="0" t="s">
        <v>243</v>
      </c>
      <c r="B45" s="0" t="s">
        <v>244</v>
      </c>
      <c r="C45" s="0" t="s">
        <v>58</v>
      </c>
      <c r="D45" s="0" t="s">
        <v>59</v>
      </c>
      <c r="E45" s="0" t="s">
        <v>60</v>
      </c>
      <c r="F45" s="0" t="s">
        <v>61</v>
      </c>
      <c r="G45" s="0" t="n">
        <v>100</v>
      </c>
      <c r="H45" s="0" t="n">
        <v>0.067</v>
      </c>
      <c r="I45" s="0" t="n">
        <v>2</v>
      </c>
      <c r="J45" s="0" t="s">
        <v>62</v>
      </c>
      <c r="K45" s="0" t="s">
        <v>245</v>
      </c>
      <c r="L45" s="0" t="s">
        <v>246</v>
      </c>
      <c r="M45" s="0" t="s">
        <v>65</v>
      </c>
      <c r="N45" s="0" t="n">
        <v>17.8371</v>
      </c>
      <c r="O45" s="0" t="n">
        <v>29</v>
      </c>
      <c r="P45" s="0" t="n">
        <v>0.0713</v>
      </c>
      <c r="Q45" s="0" t="n">
        <v>95.7389</v>
      </c>
      <c r="R45" s="0" t="n">
        <v>0.153</v>
      </c>
      <c r="S45" s="0" t="n">
        <v>97.3501</v>
      </c>
      <c r="T45" s="0" t="n">
        <v>10.3965</v>
      </c>
      <c r="U45" s="0" t="n">
        <v>10.0386</v>
      </c>
      <c r="V45" s="0" t="n">
        <v>141.7319</v>
      </c>
      <c r="W45" s="0" t="n">
        <v>0.0961</v>
      </c>
      <c r="X45" s="0" t="n">
        <v>10.0386</v>
      </c>
      <c r="Y45" s="0" t="n">
        <v>141.7319</v>
      </c>
      <c r="Z45" s="0" t="n">
        <v>0</v>
      </c>
      <c r="AA45" s="0" t="n">
        <v>0</v>
      </c>
      <c r="AB45" s="0" t="n">
        <v>-5</v>
      </c>
      <c r="AC45" s="0" t="s">
        <v>86</v>
      </c>
      <c r="AD45" s="0" t="n">
        <v>5000</v>
      </c>
      <c r="AE45" s="0" t="n">
        <v>4786.94</v>
      </c>
      <c r="AF45" s="0" t="n">
        <v>4786.94</v>
      </c>
      <c r="AG45" s="0" t="n">
        <v>0.000149</v>
      </c>
      <c r="AH45" s="4" t="b">
        <f aca="false">FALSE()</f>
        <v>0</v>
      </c>
      <c r="AJ45" s="4" t="b">
        <f aca="false">FALSE()</f>
        <v>0</v>
      </c>
      <c r="AK45" s="4" t="b">
        <f aca="false">FALSE()</f>
        <v>0</v>
      </c>
      <c r="AL45" s="0" t="s">
        <v>67</v>
      </c>
      <c r="AM45" s="0" t="n">
        <v>4.975</v>
      </c>
      <c r="AN45" s="0" t="n">
        <v>-4.6358</v>
      </c>
      <c r="AO45" s="0" t="n">
        <v>10.2893</v>
      </c>
      <c r="AP45" s="0" t="n">
        <v>-8.9324</v>
      </c>
      <c r="AQ45" s="0" t="n">
        <v>21.9355</v>
      </c>
      <c r="AR45" s="0" t="n">
        <v>-16.5078</v>
      </c>
    </row>
    <row r="46" customFormat="false" ht="15" hidden="false" customHeight="false" outlineLevel="0" collapsed="false">
      <c r="A46" s="0" t="s">
        <v>247</v>
      </c>
      <c r="B46" s="0" t="s">
        <v>248</v>
      </c>
      <c r="C46" s="0" t="s">
        <v>58</v>
      </c>
      <c r="D46" s="0" t="s">
        <v>59</v>
      </c>
      <c r="E46" s="0" t="s">
        <v>60</v>
      </c>
      <c r="F46" s="0" t="s">
        <v>61</v>
      </c>
      <c r="G46" s="0" t="n">
        <v>100</v>
      </c>
      <c r="H46" s="0" t="n">
        <v>0.0624</v>
      </c>
      <c r="I46" s="0" t="n">
        <v>2</v>
      </c>
      <c r="J46" s="0" t="s">
        <v>62</v>
      </c>
      <c r="K46" s="0" t="s">
        <v>249</v>
      </c>
      <c r="L46" s="0" t="s">
        <v>250</v>
      </c>
      <c r="M46" s="0" t="s">
        <v>65</v>
      </c>
      <c r="N46" s="0" t="n">
        <v>18.4367</v>
      </c>
      <c r="O46" s="0" t="n">
        <v>33</v>
      </c>
      <c r="P46" s="0" t="n">
        <v>0.0699</v>
      </c>
      <c r="Q46" s="0" t="n">
        <v>92.3856</v>
      </c>
      <c r="R46" s="0" t="n">
        <v>0.52</v>
      </c>
      <c r="S46" s="0" t="n">
        <v>93.431</v>
      </c>
      <c r="T46" s="0" t="n">
        <v>10.76</v>
      </c>
      <c r="U46" s="0" t="n">
        <v>10.3966</v>
      </c>
      <c r="V46" s="0" t="n">
        <v>151.5671</v>
      </c>
      <c r="W46" s="0" t="n">
        <v>0.096</v>
      </c>
      <c r="X46" s="0" t="n">
        <v>10.3966</v>
      </c>
      <c r="Y46" s="0" t="n">
        <v>151.5671</v>
      </c>
      <c r="Z46" s="0" t="n">
        <v>0</v>
      </c>
      <c r="AA46" s="0" t="n">
        <v>0</v>
      </c>
      <c r="AB46" s="0" t="n">
        <v>0</v>
      </c>
      <c r="AC46" s="0" t="s">
        <v>86</v>
      </c>
      <c r="AD46" s="0" t="n">
        <v>50000</v>
      </c>
      <c r="AE46" s="0" t="n">
        <v>46192.8</v>
      </c>
      <c r="AF46" s="0" t="n">
        <v>46192.8</v>
      </c>
      <c r="AG46" s="0" t="n">
        <v>0.001441</v>
      </c>
      <c r="AH46" s="4" t="b">
        <f aca="false">FALSE()</f>
        <v>0</v>
      </c>
      <c r="AJ46" s="4" t="b">
        <f aca="false">FALSE()</f>
        <v>0</v>
      </c>
      <c r="AK46" s="4" t="b">
        <f aca="false">FALSE()</f>
        <v>0</v>
      </c>
      <c r="AL46" s="0" t="s">
        <v>67</v>
      </c>
      <c r="AM46" s="0" t="n">
        <v>4.9775</v>
      </c>
      <c r="AN46" s="0" t="n">
        <v>-4.6274</v>
      </c>
      <c r="AO46" s="0" t="n">
        <v>10.3051</v>
      </c>
      <c r="AP46" s="0" t="n">
        <v>-8.9048</v>
      </c>
      <c r="AQ46" s="0" t="n">
        <v>22.0104</v>
      </c>
      <c r="AR46" s="0" t="n">
        <v>-16.4094</v>
      </c>
    </row>
    <row r="47" customFormat="false" ht="15" hidden="false" customHeight="false" outlineLevel="0" collapsed="false">
      <c r="A47" s="0" t="s">
        <v>251</v>
      </c>
      <c r="B47" s="0" t="s">
        <v>252</v>
      </c>
      <c r="C47" s="0" t="s">
        <v>58</v>
      </c>
      <c r="D47" s="0" t="s">
        <v>59</v>
      </c>
      <c r="E47" s="0" t="s">
        <v>60</v>
      </c>
      <c r="F47" s="0" t="s">
        <v>61</v>
      </c>
      <c r="G47" s="0" t="n">
        <v>100</v>
      </c>
      <c r="H47" s="0" t="n">
        <v>0.0592</v>
      </c>
      <c r="I47" s="0" t="n">
        <v>2</v>
      </c>
      <c r="J47" s="0" t="s">
        <v>62</v>
      </c>
      <c r="K47" s="0" t="s">
        <v>253</v>
      </c>
      <c r="L47" s="0" t="s">
        <v>254</v>
      </c>
      <c r="M47" s="0" t="s">
        <v>65</v>
      </c>
      <c r="N47" s="0" t="n">
        <v>13.9493</v>
      </c>
      <c r="O47" s="0" t="n">
        <v>27</v>
      </c>
      <c r="P47" s="0" t="n">
        <v>0.0737</v>
      </c>
      <c r="Q47" s="0" t="n">
        <v>87.7314</v>
      </c>
      <c r="R47" s="0" t="n">
        <v>0.9733</v>
      </c>
      <c r="S47" s="0" t="n">
        <v>88.5344</v>
      </c>
      <c r="T47" s="0" t="n">
        <v>9.1719</v>
      </c>
      <c r="U47" s="0" t="n">
        <v>8.8459</v>
      </c>
      <c r="V47" s="0" t="n">
        <v>103.2946</v>
      </c>
      <c r="W47" s="0" t="n">
        <v>0.0776</v>
      </c>
      <c r="X47" s="0" t="n">
        <v>8.8459</v>
      </c>
      <c r="Y47" s="0" t="n">
        <v>103.2946</v>
      </c>
      <c r="Z47" s="0" t="n">
        <v>0</v>
      </c>
      <c r="AA47" s="0" t="n">
        <v>0</v>
      </c>
      <c r="AB47" s="0" t="n">
        <v>8</v>
      </c>
      <c r="AC47" s="0" t="s">
        <v>152</v>
      </c>
      <c r="AD47" s="0" t="n">
        <v>5000</v>
      </c>
      <c r="AE47" s="0" t="n">
        <v>4386.57</v>
      </c>
      <c r="AF47" s="0" t="n">
        <v>4386.57</v>
      </c>
      <c r="AG47" s="0" t="n">
        <v>0.000137</v>
      </c>
      <c r="AH47" s="4" t="b">
        <f aca="false">FALSE()</f>
        <v>0</v>
      </c>
      <c r="AJ47" s="4" t="b">
        <f aca="false">FALSE()</f>
        <v>0</v>
      </c>
      <c r="AK47" s="4" t="b">
        <f aca="false">FALSE()</f>
        <v>0</v>
      </c>
      <c r="AL47" s="0" t="s">
        <v>67</v>
      </c>
      <c r="AM47" s="0" t="n">
        <v>3.9936</v>
      </c>
      <c r="AN47" s="0" t="n">
        <v>-3.767</v>
      </c>
      <c r="AO47" s="0" t="n">
        <v>8.2137</v>
      </c>
      <c r="AP47" s="0" t="n">
        <v>-7.3075</v>
      </c>
      <c r="AQ47" s="0" t="n">
        <v>17.3337</v>
      </c>
      <c r="AR47" s="0" t="n">
        <v>-13.7088</v>
      </c>
    </row>
    <row r="48" customFormat="false" ht="15" hidden="false" customHeight="false" outlineLevel="0" collapsed="false">
      <c r="A48" s="0" t="s">
        <v>255</v>
      </c>
      <c r="B48" s="0" t="s">
        <v>256</v>
      </c>
      <c r="C48" s="0" t="s">
        <v>58</v>
      </c>
      <c r="D48" s="0" t="s">
        <v>59</v>
      </c>
      <c r="E48" s="0" t="s">
        <v>60</v>
      </c>
      <c r="F48" s="0" t="s">
        <v>61</v>
      </c>
      <c r="G48" s="0" t="n">
        <v>100</v>
      </c>
      <c r="H48" s="0" t="n">
        <v>0.0537</v>
      </c>
      <c r="I48" s="0" t="n">
        <v>2</v>
      </c>
      <c r="J48" s="0" t="s">
        <v>62</v>
      </c>
      <c r="K48" s="0" t="s">
        <v>257</v>
      </c>
      <c r="L48" s="0" t="s">
        <v>258</v>
      </c>
      <c r="M48" s="0" t="s">
        <v>65</v>
      </c>
      <c r="N48" s="0" t="n">
        <v>13.1389</v>
      </c>
      <c r="O48" s="0" t="n">
        <v>20</v>
      </c>
      <c r="P48" s="0" t="n">
        <v>0.0723</v>
      </c>
      <c r="Q48" s="0" t="n">
        <v>84.4923</v>
      </c>
      <c r="R48" s="0" t="n">
        <v>0.0388</v>
      </c>
      <c r="S48" s="0" t="n">
        <v>85.3381</v>
      </c>
      <c r="T48" s="0" t="n">
        <v>9.1663</v>
      </c>
      <c r="U48" s="0" t="n">
        <v>8.8465</v>
      </c>
      <c r="V48" s="0" t="n">
        <v>101.3285</v>
      </c>
      <c r="W48" s="0" t="n">
        <v>0.0747</v>
      </c>
      <c r="X48" s="0" t="n">
        <v>8.8465</v>
      </c>
      <c r="Y48" s="0" t="n">
        <v>101.3285</v>
      </c>
      <c r="Z48" s="0" t="n">
        <v>0</v>
      </c>
      <c r="AA48" s="0" t="n">
        <v>0</v>
      </c>
      <c r="AB48" s="0" t="n">
        <v>2</v>
      </c>
      <c r="AC48" s="0" t="s">
        <v>152</v>
      </c>
      <c r="AD48" s="0" t="n">
        <v>5000</v>
      </c>
      <c r="AE48" s="0" t="n">
        <v>4224.61</v>
      </c>
      <c r="AF48" s="0" t="n">
        <v>4224.61</v>
      </c>
      <c r="AG48" s="0" t="n">
        <v>0.000132</v>
      </c>
      <c r="AH48" s="4" t="b">
        <f aca="false">FALSE()</f>
        <v>0</v>
      </c>
      <c r="AJ48" s="4" t="b">
        <f aca="false">FALSE()</f>
        <v>0</v>
      </c>
      <c r="AK48" s="4" t="b">
        <f aca="false">FALSE()</f>
        <v>0</v>
      </c>
      <c r="AL48" s="0" t="s">
        <v>67</v>
      </c>
      <c r="AM48" s="0" t="n">
        <v>3.8443</v>
      </c>
      <c r="AN48" s="0" t="n">
        <v>-3.6303</v>
      </c>
      <c r="AO48" s="0" t="n">
        <v>7.9027</v>
      </c>
      <c r="AP48" s="0" t="n">
        <v>-7.0465</v>
      </c>
      <c r="AQ48" s="0" t="n">
        <v>16.6615</v>
      </c>
      <c r="AR48" s="0" t="n">
        <v>-13.2369</v>
      </c>
    </row>
    <row r="49" customFormat="false" ht="15" hidden="false" customHeight="false" outlineLevel="0" collapsed="false">
      <c r="A49" s="0" t="s">
        <v>259</v>
      </c>
      <c r="B49" s="0" t="s">
        <v>260</v>
      </c>
      <c r="C49" s="0" t="s">
        <v>58</v>
      </c>
      <c r="D49" s="0" t="s">
        <v>59</v>
      </c>
      <c r="E49" s="0" t="s">
        <v>60</v>
      </c>
      <c r="F49" s="0" t="s">
        <v>61</v>
      </c>
      <c r="G49" s="0" t="n">
        <v>100</v>
      </c>
      <c r="H49" s="0" t="n">
        <v>0.077</v>
      </c>
      <c r="I49" s="0" t="n">
        <v>2</v>
      </c>
      <c r="J49" s="0" t="s">
        <v>62</v>
      </c>
      <c r="K49" s="0" t="s">
        <v>261</v>
      </c>
      <c r="L49" s="0" t="s">
        <v>262</v>
      </c>
      <c r="M49" s="0" t="s">
        <v>65</v>
      </c>
      <c r="N49" s="0" t="n">
        <v>5.514</v>
      </c>
      <c r="O49" s="0" t="n">
        <v>11</v>
      </c>
      <c r="P49" s="0" t="n">
        <v>0.0725</v>
      </c>
      <c r="Q49" s="0" t="n">
        <v>102.0116</v>
      </c>
      <c r="R49" s="0" t="n">
        <v>1.3579</v>
      </c>
      <c r="S49" s="0" t="n">
        <v>102.8114</v>
      </c>
      <c r="T49" s="0" t="n">
        <v>4.5965</v>
      </c>
      <c r="U49" s="0" t="n">
        <v>4.4357</v>
      </c>
      <c r="V49" s="0" t="n">
        <v>24.0883</v>
      </c>
      <c r="W49" s="0" t="n">
        <v>0.0452</v>
      </c>
      <c r="X49" s="0" t="n">
        <v>4.4357</v>
      </c>
      <c r="Y49" s="0" t="n">
        <v>24.0883</v>
      </c>
      <c r="Z49" s="0" t="n">
        <v>0</v>
      </c>
      <c r="AA49" s="0" t="n">
        <v>0</v>
      </c>
      <c r="AB49" s="0" t="n">
        <v>10</v>
      </c>
      <c r="AC49" s="0" t="s">
        <v>77</v>
      </c>
      <c r="AD49" s="0" t="n">
        <v>100000</v>
      </c>
      <c r="AE49" s="0" t="n">
        <v>102011.6</v>
      </c>
      <c r="AF49" s="0" t="n">
        <v>102011.6</v>
      </c>
      <c r="AG49" s="0" t="n">
        <v>0.003182</v>
      </c>
      <c r="AH49" s="4" t="b">
        <f aca="false">FALSE()</f>
        <v>0</v>
      </c>
      <c r="AJ49" s="4" t="b">
        <f aca="false">FALSE()</f>
        <v>0</v>
      </c>
      <c r="AK49" s="4" t="b">
        <f aca="false">FALSE()</f>
        <v>0</v>
      </c>
      <c r="AL49" s="0" t="s">
        <v>67</v>
      </c>
      <c r="AM49" s="0" t="n">
        <v>2.2932</v>
      </c>
      <c r="AN49" s="0" t="n">
        <v>-2.2317</v>
      </c>
      <c r="AO49" s="0" t="n">
        <v>4.6478</v>
      </c>
      <c r="AP49" s="0" t="n">
        <v>-4.4021</v>
      </c>
      <c r="AQ49" s="0" t="n">
        <v>9.5413</v>
      </c>
      <c r="AR49" s="0" t="n">
        <v>-8.5584</v>
      </c>
    </row>
    <row r="50" customFormat="false" ht="15" hidden="false" customHeight="false" outlineLevel="0" collapsed="false">
      <c r="A50" s="0" t="s">
        <v>263</v>
      </c>
      <c r="B50" s="0" t="s">
        <v>264</v>
      </c>
      <c r="C50" s="0" t="s">
        <v>58</v>
      </c>
      <c r="D50" s="0" t="s">
        <v>59</v>
      </c>
      <c r="E50" s="0" t="s">
        <v>60</v>
      </c>
      <c r="F50" s="0" t="s">
        <v>61</v>
      </c>
      <c r="G50" s="0" t="n">
        <v>100</v>
      </c>
      <c r="H50" s="0" t="n">
        <v>0.0579</v>
      </c>
      <c r="I50" s="0" t="n">
        <v>2</v>
      </c>
      <c r="J50" s="0" t="s">
        <v>62</v>
      </c>
      <c r="K50" s="0" t="s">
        <v>265</v>
      </c>
      <c r="L50" s="0" t="s">
        <v>266</v>
      </c>
      <c r="M50" s="0" t="s">
        <v>65</v>
      </c>
      <c r="N50" s="0" t="n">
        <v>22.5572</v>
      </c>
      <c r="O50" s="0" t="n">
        <v>28</v>
      </c>
      <c r="P50" s="0" t="n">
        <v>0.0733</v>
      </c>
      <c r="Q50" s="0" t="n">
        <v>83.1493</v>
      </c>
      <c r="R50" s="0" t="n">
        <v>1.1877</v>
      </c>
      <c r="S50" s="0" t="n">
        <v>83.5587</v>
      </c>
      <c r="T50" s="0" t="n">
        <v>11.9011</v>
      </c>
      <c r="U50" s="0" t="n">
        <v>11.4803</v>
      </c>
      <c r="V50" s="0" t="n">
        <v>196.3436</v>
      </c>
      <c r="W50" s="0" t="n">
        <v>0.0955</v>
      </c>
      <c r="X50" s="0" t="n">
        <v>11.4803</v>
      </c>
      <c r="Y50" s="0" t="n">
        <v>196.3436</v>
      </c>
      <c r="Z50" s="0" t="n">
        <v>0</v>
      </c>
      <c r="AA50" s="0" t="n">
        <v>0</v>
      </c>
      <c r="AB50" s="0" t="n">
        <v>4</v>
      </c>
      <c r="AC50" s="0" t="s">
        <v>72</v>
      </c>
      <c r="AD50" s="0" t="n">
        <v>20000</v>
      </c>
      <c r="AE50" s="0" t="n">
        <v>16629.86</v>
      </c>
      <c r="AF50" s="0" t="n">
        <v>16629.86</v>
      </c>
      <c r="AG50" s="0" t="n">
        <v>0.000519</v>
      </c>
      <c r="AH50" s="4" t="b">
        <f aca="false">FALSE()</f>
        <v>0</v>
      </c>
      <c r="AJ50" s="4" t="b">
        <f aca="false">FALSE()</f>
        <v>0</v>
      </c>
      <c r="AK50" s="4" t="b">
        <f aca="false">FALSE()</f>
        <v>0</v>
      </c>
      <c r="AL50" s="0" t="s">
        <v>67</v>
      </c>
      <c r="AM50" s="0" t="n">
        <v>4.977</v>
      </c>
      <c r="AN50" s="0" t="n">
        <v>-4.5688</v>
      </c>
      <c r="AO50" s="0" t="n">
        <v>10.3621</v>
      </c>
      <c r="AP50" s="0" t="n">
        <v>-8.7295</v>
      </c>
      <c r="AQ50" s="0" t="n">
        <v>22.3567</v>
      </c>
      <c r="AR50" s="0" t="n">
        <v>-15.8264</v>
      </c>
    </row>
    <row r="51" customFormat="false" ht="15" hidden="false" customHeight="false" outlineLevel="0" collapsed="false">
      <c r="A51" s="0" t="s">
        <v>267</v>
      </c>
      <c r="B51" s="0" t="s">
        <v>268</v>
      </c>
      <c r="C51" s="0" t="s">
        <v>58</v>
      </c>
      <c r="D51" s="0" t="s">
        <v>59</v>
      </c>
      <c r="E51" s="0" t="s">
        <v>60</v>
      </c>
      <c r="F51" s="0" t="s">
        <v>61</v>
      </c>
      <c r="G51" s="0" t="n">
        <v>100</v>
      </c>
      <c r="H51" s="0" t="n">
        <v>0.0608</v>
      </c>
      <c r="I51" s="0" t="n">
        <v>2</v>
      </c>
      <c r="J51" s="0" t="s">
        <v>62</v>
      </c>
      <c r="K51" s="0" t="s">
        <v>269</v>
      </c>
      <c r="L51" s="0" t="s">
        <v>270</v>
      </c>
      <c r="M51" s="0" t="s">
        <v>65</v>
      </c>
      <c r="N51" s="0" t="n">
        <v>8.8871</v>
      </c>
      <c r="O51" s="0" t="n">
        <v>22</v>
      </c>
      <c r="P51" s="0" t="n">
        <v>0.0753</v>
      </c>
      <c r="Q51" s="0" t="n">
        <v>91.0169</v>
      </c>
      <c r="R51" s="0" t="n">
        <v>0.8691</v>
      </c>
      <c r="S51" s="0" t="n">
        <v>91.3719</v>
      </c>
      <c r="T51" s="0" t="n">
        <v>6.6623</v>
      </c>
      <c r="U51" s="0" t="n">
        <v>6.4206</v>
      </c>
      <c r="V51" s="0" t="n">
        <v>51.0209</v>
      </c>
      <c r="W51" s="0" t="n">
        <v>0.0584</v>
      </c>
      <c r="X51" s="0" t="n">
        <v>6.4206</v>
      </c>
      <c r="Y51" s="0" t="n">
        <v>51.0209</v>
      </c>
      <c r="Z51" s="0" t="n">
        <v>0</v>
      </c>
      <c r="AA51" s="0" t="n">
        <v>0</v>
      </c>
      <c r="AB51" s="0" t="n">
        <v>8</v>
      </c>
      <c r="AC51" s="0" t="s">
        <v>210</v>
      </c>
      <c r="AD51" s="0" t="n">
        <v>10000</v>
      </c>
      <c r="AE51" s="0" t="n">
        <v>9101.69</v>
      </c>
      <c r="AF51" s="0" t="n">
        <v>9101.69</v>
      </c>
      <c r="AG51" s="0" t="n">
        <v>0.000284</v>
      </c>
      <c r="AH51" s="4" t="b">
        <f aca="false">FALSE()</f>
        <v>0</v>
      </c>
      <c r="AJ51" s="4" t="b">
        <f aca="false">FALSE()</f>
        <v>0</v>
      </c>
      <c r="AK51" s="4" t="b">
        <f aca="false">FALSE()</f>
        <v>0</v>
      </c>
      <c r="AL51" s="0" t="s">
        <v>67</v>
      </c>
      <c r="AM51" s="0" t="n">
        <v>2.98</v>
      </c>
      <c r="AN51" s="0" t="n">
        <v>-2.8639</v>
      </c>
      <c r="AO51" s="0" t="n">
        <v>6.076</v>
      </c>
      <c r="AP51" s="0" t="n">
        <v>-5.6116</v>
      </c>
      <c r="AQ51" s="0" t="n">
        <v>12.6164</v>
      </c>
      <c r="AR51" s="0" t="n">
        <v>-10.7589</v>
      </c>
    </row>
    <row r="52" customFormat="false" ht="15" hidden="false" customHeight="false" outlineLevel="0" collapsed="false">
      <c r="A52" s="0" t="s">
        <v>271</v>
      </c>
      <c r="B52" s="0" t="s">
        <v>272</v>
      </c>
      <c r="C52" s="0" t="s">
        <v>58</v>
      </c>
      <c r="D52" s="0" t="s">
        <v>59</v>
      </c>
      <c r="E52" s="0" t="s">
        <v>60</v>
      </c>
      <c r="F52" s="0" t="s">
        <v>61</v>
      </c>
      <c r="G52" s="0" t="n">
        <v>100</v>
      </c>
      <c r="H52" s="0" t="n">
        <v>0.0595</v>
      </c>
      <c r="I52" s="0" t="n">
        <v>2</v>
      </c>
      <c r="J52" s="0" t="s">
        <v>62</v>
      </c>
      <c r="K52" s="0" t="s">
        <v>273</v>
      </c>
      <c r="L52" s="0" t="s">
        <v>274</v>
      </c>
      <c r="M52" s="0" t="s">
        <v>65</v>
      </c>
      <c r="N52" s="0" t="n">
        <v>1.3799</v>
      </c>
      <c r="O52" s="0" t="n">
        <v>8</v>
      </c>
      <c r="P52" s="0" t="n">
        <v>0.0696</v>
      </c>
      <c r="Q52" s="0" t="n">
        <v>99.0404</v>
      </c>
      <c r="R52" s="0" t="n">
        <v>1.3543</v>
      </c>
      <c r="S52" s="0" t="n">
        <v>99.0632</v>
      </c>
      <c r="T52" s="0" t="n">
        <v>0.9855</v>
      </c>
      <c r="U52" s="0" t="n">
        <v>0.9524</v>
      </c>
      <c r="V52" s="0" t="n">
        <v>1.3737</v>
      </c>
      <c r="W52" s="0" t="n">
        <v>0.0094</v>
      </c>
      <c r="X52" s="0" t="n">
        <v>0.9524</v>
      </c>
      <c r="Y52" s="0" t="n">
        <v>1.3737</v>
      </c>
      <c r="Z52" s="0" t="n">
        <v>0</v>
      </c>
      <c r="AA52" s="0" t="n">
        <v>0</v>
      </c>
      <c r="AB52" s="0" t="n">
        <v>-1</v>
      </c>
      <c r="AC52" s="0" t="s">
        <v>91</v>
      </c>
      <c r="AD52" s="0" t="n">
        <v>100000</v>
      </c>
      <c r="AE52" s="0" t="n">
        <v>99040.4</v>
      </c>
      <c r="AF52" s="0" t="n">
        <v>99040.4</v>
      </c>
      <c r="AG52" s="0" t="n">
        <v>0.003089</v>
      </c>
      <c r="AH52" s="4" t="b">
        <f aca="false">FALSE()</f>
        <v>0</v>
      </c>
      <c r="AJ52" s="4" t="b">
        <f aca="false">FALSE()</f>
        <v>0</v>
      </c>
      <c r="AK52" s="4" t="b">
        <f aca="false">FALSE()</f>
        <v>0</v>
      </c>
      <c r="AL52" s="0" t="s">
        <v>67</v>
      </c>
      <c r="AM52" s="0" t="n">
        <v>0.4733</v>
      </c>
      <c r="AN52" s="0" t="n">
        <v>-0.4699</v>
      </c>
      <c r="AO52" s="0" t="n">
        <v>0.9501</v>
      </c>
      <c r="AP52" s="0" t="n">
        <v>-0.9365</v>
      </c>
      <c r="AQ52" s="0" t="n">
        <v>1.9137</v>
      </c>
      <c r="AR52" s="0" t="n">
        <v>-1.8593</v>
      </c>
    </row>
    <row r="53" customFormat="false" ht="15" hidden="false" customHeight="false" outlineLevel="0" collapsed="false">
      <c r="A53" s="0" t="s">
        <v>275</v>
      </c>
      <c r="B53" s="0" t="s">
        <v>276</v>
      </c>
      <c r="C53" s="0" t="s">
        <v>58</v>
      </c>
      <c r="D53" s="0" t="s">
        <v>59</v>
      </c>
      <c r="E53" s="0" t="s">
        <v>60</v>
      </c>
      <c r="F53" s="0" t="s">
        <v>61</v>
      </c>
      <c r="G53" s="0" t="n">
        <v>100</v>
      </c>
      <c r="H53" s="0" t="n">
        <v>0.0608</v>
      </c>
      <c r="I53" s="0" t="n">
        <v>2</v>
      </c>
      <c r="J53" s="0" t="s">
        <v>62</v>
      </c>
      <c r="K53" s="0" t="s">
        <v>277</v>
      </c>
      <c r="L53" s="0" t="s">
        <v>278</v>
      </c>
      <c r="M53" s="0" t="s">
        <v>65</v>
      </c>
      <c r="N53" s="0" t="n">
        <v>12.4052</v>
      </c>
      <c r="O53" s="0" t="n">
        <v>22</v>
      </c>
      <c r="P53" s="0" t="n">
        <v>0.0743</v>
      </c>
      <c r="Q53" s="0" t="n">
        <v>89.4013</v>
      </c>
      <c r="R53" s="0" t="n">
        <v>1.326</v>
      </c>
      <c r="S53" s="0" t="n">
        <v>89.4559</v>
      </c>
      <c r="T53" s="0" t="n">
        <v>8.4692</v>
      </c>
      <c r="U53" s="0" t="n">
        <v>8.1658</v>
      </c>
      <c r="V53" s="0" t="n">
        <v>86.4589</v>
      </c>
      <c r="W53" s="0" t="n">
        <v>0.073</v>
      </c>
      <c r="X53" s="0" t="n">
        <v>8.1658</v>
      </c>
      <c r="Y53" s="0" t="n">
        <v>86.4589</v>
      </c>
      <c r="Z53" s="0" t="n">
        <v>0</v>
      </c>
      <c r="AA53" s="0" t="n">
        <v>0</v>
      </c>
      <c r="AB53" s="0" t="n">
        <v>-3</v>
      </c>
      <c r="AC53" s="0" t="s">
        <v>152</v>
      </c>
      <c r="AD53" s="0" t="n">
        <v>50000</v>
      </c>
      <c r="AE53" s="0" t="n">
        <v>44700.65</v>
      </c>
      <c r="AF53" s="0" t="n">
        <v>44700.65</v>
      </c>
      <c r="AG53" s="0" t="n">
        <v>0.001394</v>
      </c>
      <c r="AH53" s="4" t="b">
        <f aca="false">FALSE()</f>
        <v>0</v>
      </c>
      <c r="AJ53" s="4" t="b">
        <f aca="false">FALSE()</f>
        <v>0</v>
      </c>
      <c r="AK53" s="4" t="b">
        <f aca="false">FALSE()</f>
        <v>0</v>
      </c>
      <c r="AL53" s="0" t="s">
        <v>67</v>
      </c>
      <c r="AM53" s="0" t="n">
        <v>3.7468</v>
      </c>
      <c r="AN53" s="0" t="n">
        <v>-3.5535</v>
      </c>
      <c r="AO53" s="0" t="n">
        <v>7.6868</v>
      </c>
      <c r="AP53" s="0" t="n">
        <v>-6.9139</v>
      </c>
      <c r="AQ53" s="0" t="n">
        <v>16.1466</v>
      </c>
      <c r="AR53" s="0" t="n">
        <v>-13.0548</v>
      </c>
    </row>
    <row r="54" customFormat="false" ht="15" hidden="false" customHeight="false" outlineLevel="0" collapsed="false">
      <c r="A54" s="0" t="s">
        <v>279</v>
      </c>
      <c r="B54" s="0" t="s">
        <v>280</v>
      </c>
      <c r="C54" s="0" t="s">
        <v>58</v>
      </c>
      <c r="D54" s="0" t="s">
        <v>59</v>
      </c>
      <c r="E54" s="0" t="s">
        <v>60</v>
      </c>
      <c r="F54" s="0" t="s">
        <v>61</v>
      </c>
      <c r="G54" s="0" t="n">
        <v>100</v>
      </c>
      <c r="H54" s="0" t="n">
        <v>0.0513</v>
      </c>
      <c r="I54" s="0" t="n">
        <v>2</v>
      </c>
      <c r="J54" s="0" t="s">
        <v>62</v>
      </c>
      <c r="K54" s="0" t="s">
        <v>281</v>
      </c>
      <c r="L54" s="0" t="s">
        <v>282</v>
      </c>
      <c r="M54" s="0" t="s">
        <v>65</v>
      </c>
      <c r="N54" s="0" t="n">
        <v>3.3265</v>
      </c>
      <c r="O54" s="0" t="n">
        <v>5</v>
      </c>
      <c r="P54" s="0" t="n">
        <v>0.0689</v>
      </c>
      <c r="Q54" s="0" t="n">
        <v>95.3024</v>
      </c>
      <c r="R54" s="0" t="n">
        <v>0.3132</v>
      </c>
      <c r="S54" s="0" t="n">
        <v>95.8309</v>
      </c>
      <c r="T54" s="0" t="n">
        <v>2.8133</v>
      </c>
      <c r="U54" s="0" t="n">
        <v>2.7196</v>
      </c>
      <c r="V54" s="0" t="n">
        <v>9.0027</v>
      </c>
      <c r="W54" s="0" t="n">
        <v>0.0259</v>
      </c>
      <c r="X54" s="0" t="n">
        <v>2.7196</v>
      </c>
      <c r="Y54" s="0" t="n">
        <v>9.0027</v>
      </c>
      <c r="Z54" s="0" t="n">
        <v>0</v>
      </c>
      <c r="AA54" s="0" t="n">
        <v>0</v>
      </c>
      <c r="AB54" s="0" t="n">
        <v>0</v>
      </c>
      <c r="AC54" s="0" t="s">
        <v>230</v>
      </c>
      <c r="AD54" s="0" t="n">
        <v>10000</v>
      </c>
      <c r="AE54" s="0" t="n">
        <v>9530.24</v>
      </c>
      <c r="AF54" s="0" t="n">
        <v>9530.24</v>
      </c>
      <c r="AG54" s="0" t="n">
        <v>0.000297</v>
      </c>
      <c r="AH54" s="4" t="b">
        <f aca="false">FALSE()</f>
        <v>0</v>
      </c>
      <c r="AJ54" s="4" t="b">
        <f aca="false">FALSE()</f>
        <v>0</v>
      </c>
      <c r="AK54" s="4" t="b">
        <f aca="false">FALSE()</f>
        <v>0</v>
      </c>
      <c r="AL54" s="0" t="s">
        <v>67</v>
      </c>
      <c r="AM54" s="0" t="n">
        <v>1.3066</v>
      </c>
      <c r="AN54" s="0" t="n">
        <v>-1.2852</v>
      </c>
      <c r="AO54" s="0" t="n">
        <v>2.6347</v>
      </c>
      <c r="AP54" s="0" t="n">
        <v>-2.5489</v>
      </c>
      <c r="AQ54" s="0" t="n">
        <v>5.3553</v>
      </c>
      <c r="AR54" s="0" t="n">
        <v>-5.0121</v>
      </c>
    </row>
    <row r="55" customFormat="false" ht="15" hidden="false" customHeight="false" outlineLevel="0" collapsed="false">
      <c r="A55" s="0" t="s">
        <v>283</v>
      </c>
      <c r="B55" s="0" t="s">
        <v>284</v>
      </c>
      <c r="C55" s="0" t="s">
        <v>58</v>
      </c>
      <c r="D55" s="0" t="s">
        <v>59</v>
      </c>
      <c r="E55" s="0" t="s">
        <v>60</v>
      </c>
      <c r="F55" s="0" t="s">
        <v>61</v>
      </c>
      <c r="G55" s="0" t="n">
        <v>100</v>
      </c>
      <c r="H55" s="0" t="n">
        <v>0.0631</v>
      </c>
      <c r="I55" s="0" t="n">
        <v>2</v>
      </c>
      <c r="J55" s="0" t="s">
        <v>62</v>
      </c>
      <c r="K55" s="0" t="s">
        <v>285</v>
      </c>
      <c r="L55" s="0" t="s">
        <v>286</v>
      </c>
      <c r="M55" s="0" t="s">
        <v>65</v>
      </c>
      <c r="N55" s="0" t="n">
        <v>10.8309</v>
      </c>
      <c r="O55" s="0" t="n">
        <v>18</v>
      </c>
      <c r="P55" s="0" t="n">
        <v>0.072</v>
      </c>
      <c r="Q55" s="0" t="n">
        <v>93.5206</v>
      </c>
      <c r="R55" s="0" t="n">
        <v>0.7339</v>
      </c>
      <c r="S55" s="0" t="n">
        <v>93.9743</v>
      </c>
      <c r="T55" s="0" t="n">
        <v>7.7283</v>
      </c>
      <c r="U55" s="0" t="n">
        <v>7.4597</v>
      </c>
      <c r="V55" s="0" t="n">
        <v>70.7442</v>
      </c>
      <c r="W55" s="0" t="n">
        <v>0.0698</v>
      </c>
      <c r="X55" s="0" t="n">
        <v>7.4597</v>
      </c>
      <c r="Y55" s="0" t="n">
        <v>70.7442</v>
      </c>
      <c r="Z55" s="0" t="n">
        <v>0</v>
      </c>
      <c r="AA55" s="0" t="n">
        <v>0</v>
      </c>
      <c r="AB55" s="0" t="n">
        <v>0</v>
      </c>
      <c r="AC55" s="0" t="s">
        <v>152</v>
      </c>
      <c r="AD55" s="0" t="n">
        <v>500000</v>
      </c>
      <c r="AE55" s="0" t="n">
        <v>467603</v>
      </c>
      <c r="AF55" s="0" t="n">
        <v>467603</v>
      </c>
      <c r="AG55" s="0" t="n">
        <v>0.014586</v>
      </c>
      <c r="AH55" s="4" t="b">
        <f aca="false">FALSE()</f>
        <v>0</v>
      </c>
      <c r="AJ55" s="4" t="b">
        <f aca="false">FALSE()</f>
        <v>0</v>
      </c>
      <c r="AK55" s="4" t="b">
        <f aca="false">FALSE()</f>
        <v>0</v>
      </c>
      <c r="AL55" s="0" t="s">
        <v>67</v>
      </c>
      <c r="AM55" s="0" t="n">
        <v>3.5709</v>
      </c>
      <c r="AN55" s="0" t="n">
        <v>-3.4055</v>
      </c>
      <c r="AO55" s="0" t="n">
        <v>7.3072</v>
      </c>
      <c r="AP55" s="0" t="n">
        <v>-6.6456</v>
      </c>
      <c r="AQ55" s="0" t="n">
        <v>15.2759</v>
      </c>
      <c r="AR55" s="0" t="n">
        <v>-12.6295</v>
      </c>
    </row>
    <row r="56" customFormat="false" ht="15" hidden="false" customHeight="false" outlineLevel="0" collapsed="false">
      <c r="A56" s="0" t="s">
        <v>287</v>
      </c>
      <c r="B56" s="0" t="s">
        <v>288</v>
      </c>
      <c r="C56" s="0" t="s">
        <v>58</v>
      </c>
      <c r="D56" s="0" t="s">
        <v>59</v>
      </c>
      <c r="E56" s="0" t="s">
        <v>60</v>
      </c>
      <c r="F56" s="0" t="s">
        <v>61</v>
      </c>
      <c r="G56" s="0" t="n">
        <v>100</v>
      </c>
      <c r="H56" s="0" t="n">
        <v>0.0743</v>
      </c>
      <c r="I56" s="0" t="n">
        <v>2</v>
      </c>
      <c r="J56" s="0" t="s">
        <v>62</v>
      </c>
      <c r="K56" s="0" t="s">
        <v>289</v>
      </c>
      <c r="L56" s="0" t="s">
        <v>290</v>
      </c>
      <c r="M56" s="0" t="s">
        <v>65</v>
      </c>
      <c r="N56" s="0" t="n">
        <v>5.8371</v>
      </c>
      <c r="O56" s="0" t="n">
        <v>8</v>
      </c>
      <c r="P56" s="0" t="n">
        <v>0.071</v>
      </c>
      <c r="Q56" s="0" t="n">
        <v>101.4812</v>
      </c>
      <c r="R56" s="0" t="n">
        <v>0.5496</v>
      </c>
      <c r="S56" s="0" t="n">
        <v>102.7801</v>
      </c>
      <c r="T56" s="0" t="n">
        <v>4.6213</v>
      </c>
      <c r="U56" s="0" t="n">
        <v>4.4629</v>
      </c>
      <c r="V56" s="0" t="n">
        <v>24.3035</v>
      </c>
      <c r="W56" s="0" t="n">
        <v>0.0453</v>
      </c>
      <c r="X56" s="0" t="n">
        <v>4.4629</v>
      </c>
      <c r="Y56" s="0" t="n">
        <v>24.3035</v>
      </c>
      <c r="Z56" s="0" t="n">
        <v>0</v>
      </c>
      <c r="AA56" s="0" t="n">
        <v>0</v>
      </c>
      <c r="AB56" s="0" t="n">
        <v>-5</v>
      </c>
      <c r="AC56" s="0" t="s">
        <v>77</v>
      </c>
      <c r="AD56" s="0" t="n">
        <v>100000</v>
      </c>
      <c r="AE56" s="0" t="n">
        <v>101481.2</v>
      </c>
      <c r="AF56" s="0" t="n">
        <v>101481.2</v>
      </c>
      <c r="AG56" s="0" t="n">
        <v>0.003165</v>
      </c>
      <c r="AH56" s="4" t="b">
        <f aca="false">FALSE()</f>
        <v>0</v>
      </c>
      <c r="AJ56" s="4" t="b">
        <f aca="false">FALSE()</f>
        <v>0</v>
      </c>
      <c r="AK56" s="4" t="b">
        <f aca="false">FALSE()</f>
        <v>0</v>
      </c>
      <c r="AL56" s="0" t="s">
        <v>67</v>
      </c>
      <c r="AM56" s="0" t="n">
        <v>2.2953</v>
      </c>
      <c r="AN56" s="0" t="n">
        <v>-2.2337</v>
      </c>
      <c r="AO56" s="0" t="n">
        <v>4.6523</v>
      </c>
      <c r="AP56" s="0" t="n">
        <v>-4.4057</v>
      </c>
      <c r="AQ56" s="0" t="n">
        <v>9.5513</v>
      </c>
      <c r="AR56" s="0" t="n">
        <v>-8.5647</v>
      </c>
    </row>
    <row r="57" customFormat="false" ht="15" hidden="false" customHeight="false" outlineLevel="0" collapsed="false">
      <c r="A57" s="0" t="s">
        <v>291</v>
      </c>
      <c r="B57" s="0" t="s">
        <v>292</v>
      </c>
      <c r="C57" s="0" t="s">
        <v>58</v>
      </c>
      <c r="D57" s="0" t="s">
        <v>59</v>
      </c>
      <c r="E57" s="0" t="s">
        <v>60</v>
      </c>
      <c r="F57" s="0" t="s">
        <v>61</v>
      </c>
      <c r="G57" s="0" t="n">
        <v>100</v>
      </c>
      <c r="H57" s="0" t="n">
        <v>0.0729</v>
      </c>
      <c r="I57" s="0" t="n">
        <v>2</v>
      </c>
      <c r="J57" s="0" t="s">
        <v>62</v>
      </c>
      <c r="K57" s="0" t="s">
        <v>293</v>
      </c>
      <c r="L57" s="0" t="s">
        <v>294</v>
      </c>
      <c r="M57" s="0" t="s">
        <v>65</v>
      </c>
      <c r="N57" s="0" t="n">
        <v>6.2669</v>
      </c>
      <c r="O57" s="0" t="n">
        <v>16</v>
      </c>
      <c r="P57" s="0" t="n">
        <v>0.0715</v>
      </c>
      <c r="Q57" s="0" t="n">
        <v>100.6735</v>
      </c>
      <c r="R57" s="0" t="n">
        <v>1.377</v>
      </c>
      <c r="S57" s="0" t="n">
        <v>102.0722</v>
      </c>
      <c r="T57" s="0" t="n">
        <v>4.9694</v>
      </c>
      <c r="U57" s="0" t="n">
        <v>4.7979</v>
      </c>
      <c r="V57" s="0" t="n">
        <v>28.1467</v>
      </c>
      <c r="W57" s="0" t="n">
        <v>0.0483</v>
      </c>
      <c r="X57" s="0" t="n">
        <v>4.7979</v>
      </c>
      <c r="Y57" s="0" t="n">
        <v>28.1467</v>
      </c>
      <c r="Z57" s="0" t="n">
        <v>0</v>
      </c>
      <c r="AA57" s="0" t="n">
        <v>0</v>
      </c>
      <c r="AB57" s="0" t="n">
        <v>-1</v>
      </c>
      <c r="AC57" s="0" t="s">
        <v>77</v>
      </c>
      <c r="AD57" s="0" t="n">
        <v>200000</v>
      </c>
      <c r="AE57" s="0" t="n">
        <v>201347</v>
      </c>
      <c r="AF57" s="0" t="n">
        <v>201347</v>
      </c>
      <c r="AG57" s="0" t="n">
        <v>0.00628</v>
      </c>
      <c r="AH57" s="4" t="b">
        <f aca="false">FALSE()</f>
        <v>0</v>
      </c>
      <c r="AJ57" s="4" t="b">
        <f aca="false">FALSE()</f>
        <v>0</v>
      </c>
      <c r="AK57" s="4" t="b">
        <f aca="false">FALSE()</f>
        <v>0</v>
      </c>
      <c r="AL57" s="0" t="s">
        <v>67</v>
      </c>
      <c r="AM57" s="0" t="n">
        <v>2.4505</v>
      </c>
      <c r="AN57" s="0" t="n">
        <v>-2.3797</v>
      </c>
      <c r="AO57" s="0" t="n">
        <v>4.9719</v>
      </c>
      <c r="AP57" s="0" t="n">
        <v>-4.6885</v>
      </c>
      <c r="AQ57" s="0" t="n">
        <v>10.2272</v>
      </c>
      <c r="AR57" s="0" t="n">
        <v>-9.0937</v>
      </c>
    </row>
    <row r="58" customFormat="false" ht="15" hidden="false" customHeight="false" outlineLevel="0" collapsed="false">
      <c r="A58" s="0" t="s">
        <v>295</v>
      </c>
      <c r="B58" s="0" t="s">
        <v>296</v>
      </c>
      <c r="C58" s="0" t="s">
        <v>58</v>
      </c>
      <c r="D58" s="0" t="s">
        <v>59</v>
      </c>
      <c r="E58" s="0" t="s">
        <v>60</v>
      </c>
      <c r="F58" s="0" t="s">
        <v>61</v>
      </c>
      <c r="G58" s="0" t="n">
        <v>100</v>
      </c>
      <c r="H58" s="0" t="n">
        <v>0.0593</v>
      </c>
      <c r="I58" s="0" t="n">
        <v>2</v>
      </c>
      <c r="J58" s="0" t="s">
        <v>62</v>
      </c>
      <c r="K58" s="0" t="s">
        <v>297</v>
      </c>
      <c r="L58" s="0" t="s">
        <v>298</v>
      </c>
      <c r="M58" s="0" t="s">
        <v>65</v>
      </c>
      <c r="N58" s="0" t="n">
        <v>24.9363</v>
      </c>
      <c r="O58" s="0" t="n">
        <v>28</v>
      </c>
      <c r="P58" s="0" t="n">
        <v>0.0664</v>
      </c>
      <c r="Q58" s="0" t="n">
        <v>91.4652</v>
      </c>
      <c r="R58" s="0" t="n">
        <v>1.2994</v>
      </c>
      <c r="S58" s="0" t="n">
        <v>92.0076</v>
      </c>
      <c r="T58" s="0" t="n">
        <v>12.7049</v>
      </c>
      <c r="U58" s="0" t="n">
        <v>12.2967</v>
      </c>
      <c r="V58" s="0" t="n">
        <v>226.3196</v>
      </c>
      <c r="W58" s="0" t="n">
        <v>0.1125</v>
      </c>
      <c r="X58" s="0" t="n">
        <v>12.2967</v>
      </c>
      <c r="Y58" s="0" t="n">
        <v>226.3196</v>
      </c>
      <c r="Z58" s="0" t="n">
        <v>0</v>
      </c>
      <c r="AA58" s="0" t="n">
        <v>0</v>
      </c>
      <c r="AB58" s="0" t="n">
        <v>3</v>
      </c>
      <c r="AC58" s="0" t="s">
        <v>72</v>
      </c>
      <c r="AD58" s="0" t="n">
        <v>100000</v>
      </c>
      <c r="AE58" s="0" t="n">
        <v>91465.2</v>
      </c>
      <c r="AF58" s="0" t="n">
        <v>91465.2</v>
      </c>
      <c r="AG58" s="0" t="n">
        <v>0.002853</v>
      </c>
      <c r="AH58" s="4" t="b">
        <f aca="false">FALSE()</f>
        <v>0</v>
      </c>
      <c r="AJ58" s="4" t="b">
        <f aca="false">FALSE()</f>
        <v>0</v>
      </c>
      <c r="AK58" s="4" t="b">
        <f aca="false">FALSE()</f>
        <v>0</v>
      </c>
      <c r="AL58" s="0" t="s">
        <v>67</v>
      </c>
      <c r="AM58" s="0" t="n">
        <v>5.8824</v>
      </c>
      <c r="AN58" s="0" t="n">
        <v>-5.3648</v>
      </c>
      <c r="AO58" s="0" t="n">
        <v>12.2822</v>
      </c>
      <c r="AP58" s="0" t="n">
        <v>-10.2122</v>
      </c>
      <c r="AQ58" s="0" t="n">
        <v>26.6345</v>
      </c>
      <c r="AR58" s="0" t="n">
        <v>-18.3543</v>
      </c>
    </row>
    <row r="59" customFormat="false" ht="15" hidden="false" customHeight="false" outlineLevel="0" collapsed="false">
      <c r="A59" s="0" t="s">
        <v>299</v>
      </c>
      <c r="B59" s="0" t="s">
        <v>300</v>
      </c>
      <c r="C59" s="0" t="s">
        <v>58</v>
      </c>
      <c r="D59" s="0" t="s">
        <v>59</v>
      </c>
      <c r="E59" s="0" t="s">
        <v>60</v>
      </c>
      <c r="F59" s="0" t="s">
        <v>61</v>
      </c>
      <c r="G59" s="0" t="n">
        <v>100</v>
      </c>
      <c r="H59" s="0" t="n">
        <v>0.0776</v>
      </c>
      <c r="I59" s="0" t="n">
        <v>2</v>
      </c>
      <c r="J59" s="0" t="s">
        <v>62</v>
      </c>
      <c r="K59" s="0" t="s">
        <v>301</v>
      </c>
      <c r="L59" s="0" t="s">
        <v>302</v>
      </c>
      <c r="M59" s="0" t="s">
        <v>65</v>
      </c>
      <c r="N59" s="0" t="n">
        <v>31.1759</v>
      </c>
      <c r="O59" s="0" t="n">
        <v>37</v>
      </c>
      <c r="P59" s="0" t="n">
        <v>0.0733</v>
      </c>
      <c r="Q59" s="0" t="n">
        <v>105.2365</v>
      </c>
      <c r="R59" s="0" t="n">
        <v>0.513</v>
      </c>
      <c r="S59" s="0" t="n">
        <v>105.4763</v>
      </c>
      <c r="T59" s="0" t="n">
        <v>12.5144</v>
      </c>
      <c r="U59" s="0" t="n">
        <v>12.072</v>
      </c>
      <c r="V59" s="0" t="n">
        <v>240.7139</v>
      </c>
      <c r="W59" s="0" t="n">
        <v>0.127</v>
      </c>
      <c r="X59" s="0" t="n">
        <v>12.072</v>
      </c>
      <c r="Y59" s="0" t="n">
        <v>240.7139</v>
      </c>
      <c r="Z59" s="0" t="n">
        <v>0</v>
      </c>
      <c r="AA59" s="0" t="n">
        <v>0</v>
      </c>
      <c r="AB59" s="0" t="n">
        <v>6</v>
      </c>
      <c r="AC59" s="0" t="s">
        <v>72</v>
      </c>
      <c r="AD59" s="0" t="n">
        <v>5000</v>
      </c>
      <c r="AE59" s="0" t="n">
        <v>5261.82</v>
      </c>
      <c r="AF59" s="0" t="n">
        <v>5261.82</v>
      </c>
      <c r="AG59" s="0" t="n">
        <v>0.000164</v>
      </c>
      <c r="AH59" s="4" t="b">
        <f aca="false">FALSE()</f>
        <v>0</v>
      </c>
      <c r="AJ59" s="4" t="b">
        <f aca="false">FALSE()</f>
        <v>0</v>
      </c>
      <c r="AK59" s="4" t="b">
        <f aca="false">FALSE()</f>
        <v>0</v>
      </c>
      <c r="AL59" s="0" t="s">
        <v>67</v>
      </c>
      <c r="AM59" s="0" t="n">
        <v>6.6687</v>
      </c>
      <c r="AN59" s="0" t="n">
        <v>-6.0354</v>
      </c>
      <c r="AO59" s="0" t="n">
        <v>13.9707</v>
      </c>
      <c r="AP59" s="0" t="n">
        <v>-11.4376</v>
      </c>
      <c r="AQ59" s="0" t="n">
        <v>30.4747</v>
      </c>
      <c r="AR59" s="0" t="n">
        <v>-20.3419</v>
      </c>
    </row>
    <row r="60" customFormat="false" ht="15" hidden="false" customHeight="false" outlineLevel="0" collapsed="false">
      <c r="A60" s="0" t="s">
        <v>303</v>
      </c>
      <c r="B60" s="0" t="s">
        <v>304</v>
      </c>
      <c r="C60" s="0" t="s">
        <v>58</v>
      </c>
      <c r="D60" s="0" t="s">
        <v>59</v>
      </c>
      <c r="E60" s="0" t="s">
        <v>60</v>
      </c>
      <c r="F60" s="0" t="s">
        <v>61</v>
      </c>
      <c r="G60" s="0" t="n">
        <v>100</v>
      </c>
      <c r="H60" s="0" t="n">
        <v>0.0593</v>
      </c>
      <c r="I60" s="0" t="n">
        <v>2</v>
      </c>
      <c r="J60" s="0" t="s">
        <v>62</v>
      </c>
      <c r="K60" s="0" t="s">
        <v>305</v>
      </c>
      <c r="L60" s="0" t="s">
        <v>306</v>
      </c>
      <c r="M60" s="0" t="s">
        <v>65</v>
      </c>
      <c r="N60" s="0" t="n">
        <v>6.1054</v>
      </c>
      <c r="O60" s="0" t="n">
        <v>16</v>
      </c>
      <c r="P60" s="0" t="n">
        <v>0.0717</v>
      </c>
      <c r="Q60" s="0" t="n">
        <v>94.0386</v>
      </c>
      <c r="R60" s="0" t="n">
        <v>1.3482</v>
      </c>
      <c r="S60" s="0" t="n">
        <v>94.4866</v>
      </c>
      <c r="T60" s="0" t="n">
        <v>5.1029</v>
      </c>
      <c r="U60" s="0" t="n">
        <v>4.9263</v>
      </c>
      <c r="V60" s="0" t="n">
        <v>29.2043</v>
      </c>
      <c r="W60" s="0" t="n">
        <v>0.0463</v>
      </c>
      <c r="X60" s="0" t="n">
        <v>4.9263</v>
      </c>
      <c r="Y60" s="0" t="n">
        <v>29.2043</v>
      </c>
      <c r="Z60" s="0" t="n">
        <v>0</v>
      </c>
      <c r="AA60" s="0" t="n">
        <v>0</v>
      </c>
      <c r="AB60" s="0" t="n">
        <v>8</v>
      </c>
      <c r="AC60" s="0" t="s">
        <v>77</v>
      </c>
      <c r="AD60" s="0" t="n">
        <v>50000</v>
      </c>
      <c r="AE60" s="0" t="n">
        <v>47019.3</v>
      </c>
      <c r="AF60" s="0" t="n">
        <v>47019.3</v>
      </c>
      <c r="AG60" s="0" t="n">
        <v>0.001467</v>
      </c>
      <c r="AH60" s="4" t="b">
        <f aca="false">FALSE()</f>
        <v>0</v>
      </c>
      <c r="AJ60" s="4" t="b">
        <f aca="false">FALSE()</f>
        <v>0</v>
      </c>
      <c r="AK60" s="4" t="b">
        <f aca="false">FALSE()</f>
        <v>0</v>
      </c>
      <c r="AL60" s="0" t="s">
        <v>67</v>
      </c>
      <c r="AM60" s="0" t="n">
        <v>2.3506</v>
      </c>
      <c r="AN60" s="0" t="n">
        <v>-2.282</v>
      </c>
      <c r="AO60" s="0" t="n">
        <v>4.7699</v>
      </c>
      <c r="AP60" s="0" t="n">
        <v>-4.4953</v>
      </c>
      <c r="AQ60" s="0" t="n">
        <v>9.8145</v>
      </c>
      <c r="AR60" s="0" t="n">
        <v>-8.716</v>
      </c>
    </row>
    <row r="61" customFormat="false" ht="15" hidden="false" customHeight="false" outlineLevel="0" collapsed="false">
      <c r="A61" s="0" t="s">
        <v>307</v>
      </c>
      <c r="B61" s="0" t="s">
        <v>308</v>
      </c>
      <c r="C61" s="0" t="s">
        <v>58</v>
      </c>
      <c r="D61" s="0" t="s">
        <v>59</v>
      </c>
      <c r="E61" s="0" t="s">
        <v>60</v>
      </c>
      <c r="F61" s="0" t="s">
        <v>61</v>
      </c>
      <c r="G61" s="0" t="n">
        <v>100</v>
      </c>
      <c r="H61" s="0" t="n">
        <v>0.0611</v>
      </c>
      <c r="I61" s="0" t="n">
        <v>2</v>
      </c>
      <c r="J61" s="0" t="s">
        <v>62</v>
      </c>
      <c r="K61" s="0" t="s">
        <v>309</v>
      </c>
      <c r="L61" s="0" t="s">
        <v>310</v>
      </c>
      <c r="M61" s="0" t="s">
        <v>65</v>
      </c>
      <c r="N61" s="0" t="n">
        <v>14.768</v>
      </c>
      <c r="O61" s="0" t="n">
        <v>25</v>
      </c>
      <c r="P61" s="0" t="n">
        <v>0.0728</v>
      </c>
      <c r="Q61" s="0" t="n">
        <v>89.6271</v>
      </c>
      <c r="R61" s="0" t="n">
        <v>0.6402</v>
      </c>
      <c r="S61" s="0" t="n">
        <v>90.7609</v>
      </c>
      <c r="T61" s="0" t="n">
        <v>9.5262</v>
      </c>
      <c r="U61" s="0" t="n">
        <v>9.1916</v>
      </c>
      <c r="V61" s="0" t="n">
        <v>113.3344</v>
      </c>
      <c r="W61" s="0" t="n">
        <v>0.0824</v>
      </c>
      <c r="X61" s="0" t="n">
        <v>9.1916</v>
      </c>
      <c r="Y61" s="0" t="n">
        <v>113.3344</v>
      </c>
      <c r="Z61" s="0" t="n">
        <v>0</v>
      </c>
      <c r="AA61" s="0" t="n">
        <v>0</v>
      </c>
      <c r="AB61" s="0" t="n">
        <v>-1</v>
      </c>
      <c r="AC61" s="0" t="s">
        <v>152</v>
      </c>
      <c r="AD61" s="0" t="n">
        <v>100000</v>
      </c>
      <c r="AE61" s="0" t="n">
        <v>89627.1</v>
      </c>
      <c r="AF61" s="0" t="n">
        <v>89627.1</v>
      </c>
      <c r="AG61" s="0" t="n">
        <v>0.002796</v>
      </c>
      <c r="AH61" s="4" t="b">
        <f aca="false">FALSE()</f>
        <v>0</v>
      </c>
      <c r="AJ61" s="4" t="b">
        <f aca="false">FALSE()</f>
        <v>0</v>
      </c>
      <c r="AK61" s="4" t="b">
        <f aca="false">FALSE()</f>
        <v>0</v>
      </c>
      <c r="AL61" s="0" t="s">
        <v>67</v>
      </c>
      <c r="AM61" s="0" t="n">
        <v>4.2461</v>
      </c>
      <c r="AN61" s="0" t="n">
        <v>-3.9921</v>
      </c>
      <c r="AO61" s="0" t="n">
        <v>8.7461</v>
      </c>
      <c r="AP61" s="0" t="n">
        <v>-7.7303</v>
      </c>
      <c r="AQ61" s="0" t="n">
        <v>18.5079</v>
      </c>
      <c r="AR61" s="0" t="n">
        <v>-14.4448</v>
      </c>
    </row>
    <row r="62" customFormat="false" ht="15" hidden="false" customHeight="false" outlineLevel="0" collapsed="false">
      <c r="A62" s="0" t="s">
        <v>311</v>
      </c>
      <c r="B62" s="0" t="s">
        <v>312</v>
      </c>
      <c r="C62" s="0" t="s">
        <v>58</v>
      </c>
      <c r="D62" s="0" t="s">
        <v>59</v>
      </c>
      <c r="E62" s="0" t="s">
        <v>60</v>
      </c>
      <c r="F62" s="0" t="s">
        <v>61</v>
      </c>
      <c r="G62" s="0" t="n">
        <v>100</v>
      </c>
      <c r="H62" s="0" t="n">
        <v>0.0771</v>
      </c>
      <c r="I62" s="0" t="n">
        <v>2</v>
      </c>
      <c r="J62" s="0" t="s">
        <v>62</v>
      </c>
      <c r="K62" s="0" t="s">
        <v>313</v>
      </c>
      <c r="L62" s="0" t="s">
        <v>314</v>
      </c>
      <c r="M62" s="0" t="s">
        <v>65</v>
      </c>
      <c r="N62" s="0" t="n">
        <v>23.0445</v>
      </c>
      <c r="O62" s="0" t="n">
        <v>25</v>
      </c>
      <c r="P62" s="0" t="n">
        <v>0.0722</v>
      </c>
      <c r="Q62" s="0" t="n">
        <v>105.4588</v>
      </c>
      <c r="R62" s="0" t="n">
        <v>1.738</v>
      </c>
      <c r="S62" s="0" t="n">
        <v>106.7017</v>
      </c>
      <c r="T62" s="0" t="n">
        <v>11.3982</v>
      </c>
      <c r="U62" s="0" t="n">
        <v>11.0011</v>
      </c>
      <c r="V62" s="0" t="n">
        <v>184.3055</v>
      </c>
      <c r="W62" s="0" t="n">
        <v>0.116</v>
      </c>
      <c r="X62" s="0" t="n">
        <v>11.0011</v>
      </c>
      <c r="Y62" s="0" t="n">
        <v>184.3055</v>
      </c>
      <c r="Z62" s="0" t="n">
        <v>0</v>
      </c>
      <c r="AA62" s="0" t="n">
        <v>0</v>
      </c>
      <c r="AB62" s="0" t="n">
        <v>-4</v>
      </c>
      <c r="AC62" s="0" t="s">
        <v>72</v>
      </c>
      <c r="AD62" s="0" t="n">
        <v>100000</v>
      </c>
      <c r="AE62" s="0" t="n">
        <v>105458.8</v>
      </c>
      <c r="AF62" s="0" t="n">
        <v>105458.8</v>
      </c>
      <c r="AG62" s="0" t="n">
        <v>0.003289</v>
      </c>
      <c r="AH62" s="4" t="b">
        <f aca="false">FALSE()</f>
        <v>0</v>
      </c>
      <c r="AJ62" s="4" t="b">
        <f aca="false">FALSE()</f>
        <v>0</v>
      </c>
      <c r="AK62" s="4" t="b">
        <f aca="false">FALSE()</f>
        <v>0</v>
      </c>
      <c r="AL62" s="0" t="s">
        <v>67</v>
      </c>
      <c r="AM62" s="0" t="n">
        <v>6.0438</v>
      </c>
      <c r="AN62" s="0" t="n">
        <v>-5.5579</v>
      </c>
      <c r="AO62" s="0" t="n">
        <v>12.5735</v>
      </c>
      <c r="AP62" s="0" t="n">
        <v>-10.6298</v>
      </c>
      <c r="AQ62" s="0" t="n">
        <v>27.0906</v>
      </c>
      <c r="AR62" s="0" t="n">
        <v>-19.3159</v>
      </c>
    </row>
    <row r="63" customFormat="false" ht="15" hidden="false" customHeight="false" outlineLevel="0" collapsed="false">
      <c r="A63" s="0" t="s">
        <v>315</v>
      </c>
      <c r="B63" s="0" t="s">
        <v>316</v>
      </c>
      <c r="C63" s="0" t="s">
        <v>58</v>
      </c>
      <c r="D63" s="0" t="s">
        <v>59</v>
      </c>
      <c r="E63" s="0" t="s">
        <v>60</v>
      </c>
      <c r="F63" s="0" t="s">
        <v>61</v>
      </c>
      <c r="G63" s="0" t="n">
        <v>100</v>
      </c>
      <c r="H63" s="0" t="n">
        <v>0.0569</v>
      </c>
      <c r="I63" s="0" t="n">
        <v>2</v>
      </c>
      <c r="J63" s="0" t="s">
        <v>62</v>
      </c>
      <c r="K63" s="0" t="s">
        <v>317</v>
      </c>
      <c r="L63" s="0" t="s">
        <v>318</v>
      </c>
      <c r="M63" s="0" t="s">
        <v>65</v>
      </c>
      <c r="N63" s="0" t="n">
        <v>2.4175</v>
      </c>
      <c r="O63" s="0" t="n">
        <v>10</v>
      </c>
      <c r="P63" s="0" t="n">
        <v>0.0672</v>
      </c>
      <c r="Q63" s="0" t="n">
        <v>98.1021</v>
      </c>
      <c r="R63" s="0" t="n">
        <v>1.0884</v>
      </c>
      <c r="S63" s="0" t="n">
        <v>98.3968</v>
      </c>
      <c r="T63" s="0" t="n">
        <v>1.9176</v>
      </c>
      <c r="U63" s="0" t="n">
        <v>1.8553</v>
      </c>
      <c r="V63" s="0" t="n">
        <v>4.4239</v>
      </c>
      <c r="W63" s="0" t="n">
        <v>0.0182</v>
      </c>
      <c r="X63" s="0" t="n">
        <v>1.8553</v>
      </c>
      <c r="Y63" s="0" t="n">
        <v>4.4239</v>
      </c>
      <c r="Z63" s="0" t="n">
        <v>0</v>
      </c>
      <c r="AA63" s="0" t="n">
        <v>0</v>
      </c>
      <c r="AB63" s="0" t="n">
        <v>1</v>
      </c>
      <c r="AC63" s="0" t="s">
        <v>66</v>
      </c>
      <c r="AD63" s="0" t="n">
        <v>500000</v>
      </c>
      <c r="AE63" s="0" t="n">
        <v>490510.5</v>
      </c>
      <c r="AF63" s="0" t="n">
        <v>490510.5</v>
      </c>
      <c r="AG63" s="0" t="n">
        <v>0.0153</v>
      </c>
      <c r="AH63" s="4" t="b">
        <f aca="false">FALSE()</f>
        <v>0</v>
      </c>
      <c r="AJ63" s="4" t="b">
        <f aca="false">FALSE()</f>
        <v>0</v>
      </c>
      <c r="AK63" s="4" t="b">
        <f aca="false">FALSE()</f>
        <v>0</v>
      </c>
      <c r="AL63" s="0" t="s">
        <v>67</v>
      </c>
      <c r="AM63" s="0" t="n">
        <v>0.9155</v>
      </c>
      <c r="AN63" s="0" t="n">
        <v>-0.9046</v>
      </c>
      <c r="AO63" s="0" t="n">
        <v>1.8418</v>
      </c>
      <c r="AP63" s="0" t="n">
        <v>-1.7984</v>
      </c>
      <c r="AQ63" s="0" t="n">
        <v>3.727</v>
      </c>
      <c r="AR63" s="0" t="n">
        <v>-3.5534</v>
      </c>
    </row>
    <row r="64" customFormat="false" ht="15" hidden="false" customHeight="false" outlineLevel="0" collapsed="false">
      <c r="A64" s="0" t="s">
        <v>319</v>
      </c>
      <c r="B64" s="0" t="s">
        <v>320</v>
      </c>
      <c r="C64" s="0" t="s">
        <v>58</v>
      </c>
      <c r="D64" s="0" t="s">
        <v>59</v>
      </c>
      <c r="E64" s="0" t="s">
        <v>60</v>
      </c>
      <c r="F64" s="0" t="s">
        <v>61</v>
      </c>
      <c r="G64" s="0" t="n">
        <v>100</v>
      </c>
      <c r="H64" s="0" t="n">
        <v>0.0531</v>
      </c>
      <c r="I64" s="0" t="n">
        <v>2</v>
      </c>
      <c r="J64" s="0" t="s">
        <v>62</v>
      </c>
      <c r="K64" s="0" t="s">
        <v>321</v>
      </c>
      <c r="L64" s="0" t="s">
        <v>322</v>
      </c>
      <c r="M64" s="0" t="s">
        <v>65</v>
      </c>
      <c r="N64" s="0" t="n">
        <v>2.2368</v>
      </c>
      <c r="O64" s="0" t="n">
        <v>3</v>
      </c>
      <c r="P64" s="0" t="n">
        <v>0.0688</v>
      </c>
      <c r="Q64" s="0" t="n">
        <v>97.1125</v>
      </c>
      <c r="R64" s="0" t="n">
        <v>0.3159</v>
      </c>
      <c r="S64" s="0" t="n">
        <v>97.5423</v>
      </c>
      <c r="T64" s="0" t="n">
        <v>1.9225</v>
      </c>
      <c r="U64" s="0" t="n">
        <v>1.8586</v>
      </c>
      <c r="V64" s="0" t="n">
        <v>4.4321</v>
      </c>
      <c r="W64" s="0" t="n">
        <v>0.018</v>
      </c>
      <c r="X64" s="0" t="n">
        <v>1.8586</v>
      </c>
      <c r="Y64" s="0" t="n">
        <v>4.4321</v>
      </c>
      <c r="Z64" s="0" t="n">
        <v>0</v>
      </c>
      <c r="AA64" s="0" t="n">
        <v>0</v>
      </c>
      <c r="AB64" s="0" t="n">
        <v>0</v>
      </c>
      <c r="AC64" s="0" t="s">
        <v>66</v>
      </c>
      <c r="AD64" s="0" t="n">
        <v>500000</v>
      </c>
      <c r="AE64" s="0" t="n">
        <v>485562.5</v>
      </c>
      <c r="AF64" s="0" t="n">
        <v>485562.5</v>
      </c>
      <c r="AG64" s="0" t="n">
        <v>0.015146</v>
      </c>
      <c r="AH64" s="4" t="b">
        <f aca="false">FALSE()</f>
        <v>0</v>
      </c>
      <c r="AJ64" s="4" t="b">
        <f aca="false">FALSE()</f>
        <v>0</v>
      </c>
      <c r="AK64" s="4" t="b">
        <f aca="false">FALSE()</f>
        <v>0</v>
      </c>
      <c r="AL64" s="0" t="s">
        <v>67</v>
      </c>
      <c r="AM64" s="0" t="n">
        <v>0.9078</v>
      </c>
      <c r="AN64" s="0" t="n">
        <v>-0.8971</v>
      </c>
      <c r="AO64" s="0" t="n">
        <v>1.8265</v>
      </c>
      <c r="AP64" s="0" t="n">
        <v>-1.7834</v>
      </c>
      <c r="AQ64" s="0" t="n">
        <v>3.6959</v>
      </c>
      <c r="AR64" s="0" t="n">
        <v>-3.5238</v>
      </c>
    </row>
    <row r="65" customFormat="false" ht="15" hidden="false" customHeight="false" outlineLevel="0" collapsed="false">
      <c r="A65" s="0" t="s">
        <v>323</v>
      </c>
      <c r="B65" s="0" t="s">
        <v>324</v>
      </c>
      <c r="C65" s="0" t="s">
        <v>58</v>
      </c>
      <c r="D65" s="0" t="s">
        <v>59</v>
      </c>
      <c r="E65" s="0" t="s">
        <v>60</v>
      </c>
      <c r="F65" s="0" t="s">
        <v>61</v>
      </c>
      <c r="G65" s="0" t="n">
        <v>100</v>
      </c>
      <c r="H65" s="0" t="n">
        <v>0.0669</v>
      </c>
      <c r="I65" s="0" t="n">
        <v>2</v>
      </c>
      <c r="J65" s="0" t="s">
        <v>62</v>
      </c>
      <c r="K65" s="0" t="s">
        <v>325</v>
      </c>
      <c r="L65" s="0" t="s">
        <v>326</v>
      </c>
      <c r="M65" s="0" t="s">
        <v>65</v>
      </c>
      <c r="N65" s="0" t="n">
        <v>22.1793</v>
      </c>
      <c r="O65" s="0" t="n">
        <v>30</v>
      </c>
      <c r="P65" s="0" t="n">
        <v>0.0749</v>
      </c>
      <c r="Q65" s="0" t="n">
        <v>91.4377</v>
      </c>
      <c r="R65" s="0" t="n">
        <v>1.2163</v>
      </c>
      <c r="S65" s="0" t="n">
        <v>92.9576</v>
      </c>
      <c r="T65" s="0" t="n">
        <v>11.3562</v>
      </c>
      <c r="U65" s="0" t="n">
        <v>10.9463</v>
      </c>
      <c r="V65" s="0" t="n">
        <v>180.1098</v>
      </c>
      <c r="W65" s="0" t="n">
        <v>0.1001</v>
      </c>
      <c r="X65" s="0" t="n">
        <v>10.9463</v>
      </c>
      <c r="Y65" s="0" t="n">
        <v>180.1098</v>
      </c>
      <c r="Z65" s="0" t="n">
        <v>0</v>
      </c>
      <c r="AA65" s="0" t="n">
        <v>0</v>
      </c>
      <c r="AB65" s="0" t="n">
        <v>4</v>
      </c>
      <c r="AC65" s="0" t="s">
        <v>72</v>
      </c>
      <c r="AD65" s="0" t="n">
        <v>5000</v>
      </c>
      <c r="AE65" s="0" t="n">
        <v>4571.89</v>
      </c>
      <c r="AF65" s="0" t="n">
        <v>4571.89</v>
      </c>
      <c r="AG65" s="0" t="n">
        <v>0.000143</v>
      </c>
      <c r="AH65" s="4" t="b">
        <f aca="false">FALSE()</f>
        <v>0</v>
      </c>
      <c r="AJ65" s="4" t="b">
        <f aca="false">FALSE()</f>
        <v>0</v>
      </c>
      <c r="AK65" s="4" t="b">
        <f aca="false">FALSE()</f>
        <v>0</v>
      </c>
      <c r="AL65" s="0" t="s">
        <v>67</v>
      </c>
      <c r="AM65" s="0" t="n">
        <v>5.2104</v>
      </c>
      <c r="AN65" s="0" t="n">
        <v>-4.7987</v>
      </c>
      <c r="AO65" s="0" t="n">
        <v>10.8325</v>
      </c>
      <c r="AP65" s="0" t="n">
        <v>-9.1856</v>
      </c>
      <c r="AQ65" s="0" t="n">
        <v>23.3119</v>
      </c>
      <c r="AR65" s="0" t="n">
        <v>-16.7243</v>
      </c>
    </row>
    <row r="66" customFormat="false" ht="15" hidden="false" customHeight="false" outlineLevel="0" collapsed="false">
      <c r="A66" s="0" t="s">
        <v>327</v>
      </c>
      <c r="B66" s="0" t="s">
        <v>328</v>
      </c>
      <c r="C66" s="0" t="s">
        <v>58</v>
      </c>
      <c r="D66" s="0" t="s">
        <v>59</v>
      </c>
      <c r="E66" s="0" t="s">
        <v>60</v>
      </c>
      <c r="F66" s="0" t="s">
        <v>61</v>
      </c>
      <c r="G66" s="0" t="n">
        <v>100</v>
      </c>
      <c r="H66" s="0" t="n">
        <v>0.0592</v>
      </c>
      <c r="I66" s="0" t="n">
        <v>2</v>
      </c>
      <c r="J66" s="0" t="s">
        <v>62</v>
      </c>
      <c r="K66" s="0" t="s">
        <v>329</v>
      </c>
      <c r="L66" s="0" t="s">
        <v>330</v>
      </c>
      <c r="M66" s="0" t="s">
        <v>65</v>
      </c>
      <c r="N66" s="0" t="n">
        <v>9.8371</v>
      </c>
      <c r="O66" s="0" t="n">
        <v>11</v>
      </c>
      <c r="P66" s="0" t="n">
        <v>0.0679</v>
      </c>
      <c r="Q66" s="0" t="n">
        <v>93.9816</v>
      </c>
      <c r="R66" s="0" t="n">
        <v>0.8663</v>
      </c>
      <c r="S66" s="0" t="n">
        <v>95.0356</v>
      </c>
      <c r="T66" s="0" t="n">
        <v>7.3223</v>
      </c>
      <c r="U66" s="0" t="n">
        <v>7.0819</v>
      </c>
      <c r="V66" s="0" t="n">
        <v>62.3182</v>
      </c>
      <c r="W66" s="0" t="n">
        <v>0.0666</v>
      </c>
      <c r="X66" s="0" t="n">
        <v>7.0819</v>
      </c>
      <c r="Y66" s="0" t="n">
        <v>62.3182</v>
      </c>
      <c r="Z66" s="0" t="n">
        <v>0</v>
      </c>
      <c r="AA66" s="0" t="n">
        <v>0</v>
      </c>
      <c r="AB66" s="0" t="n">
        <v>7</v>
      </c>
      <c r="AC66" s="0" t="s">
        <v>210</v>
      </c>
      <c r="AD66" s="0" t="n">
        <v>200000</v>
      </c>
      <c r="AE66" s="0" t="n">
        <v>187963.2</v>
      </c>
      <c r="AF66" s="0" t="n">
        <v>187963.2</v>
      </c>
      <c r="AG66" s="0" t="n">
        <v>0.005863</v>
      </c>
      <c r="AH66" s="4" t="b">
        <f aca="false">FALSE()</f>
        <v>0</v>
      </c>
      <c r="AJ66" s="4" t="b">
        <f aca="false">FALSE()</f>
        <v>0</v>
      </c>
      <c r="AK66" s="4" t="b">
        <f aca="false">FALSE()</f>
        <v>0</v>
      </c>
      <c r="AL66" s="0" t="s">
        <v>67</v>
      </c>
      <c r="AM66" s="0" t="n">
        <v>3.4011</v>
      </c>
      <c r="AN66" s="0" t="n">
        <v>-3.2546</v>
      </c>
      <c r="AO66" s="0" t="n">
        <v>6.9485</v>
      </c>
      <c r="AP66" s="0" t="n">
        <v>-6.3628</v>
      </c>
      <c r="AQ66" s="0" t="n">
        <v>14.4827</v>
      </c>
      <c r="AR66" s="0" t="n">
        <v>-12.14</v>
      </c>
    </row>
    <row r="67" customFormat="false" ht="15" hidden="false" customHeight="false" outlineLevel="0" collapsed="false">
      <c r="A67" s="0" t="s">
        <v>331</v>
      </c>
      <c r="B67" s="0" t="s">
        <v>332</v>
      </c>
      <c r="C67" s="0" t="s">
        <v>58</v>
      </c>
      <c r="D67" s="0" t="s">
        <v>59</v>
      </c>
      <c r="E67" s="0" t="s">
        <v>60</v>
      </c>
      <c r="F67" s="0" t="s">
        <v>61</v>
      </c>
      <c r="G67" s="0" t="n">
        <v>100</v>
      </c>
      <c r="H67" s="0" t="n">
        <v>0.0623</v>
      </c>
      <c r="I67" s="0" t="n">
        <v>2</v>
      </c>
      <c r="J67" s="0" t="s">
        <v>62</v>
      </c>
      <c r="K67" s="0" t="s">
        <v>333</v>
      </c>
      <c r="L67" s="0" t="s">
        <v>334</v>
      </c>
      <c r="M67" s="0" t="s">
        <v>65</v>
      </c>
      <c r="N67" s="0" t="n">
        <v>9.4949</v>
      </c>
      <c r="O67" s="0" t="n">
        <v>16</v>
      </c>
      <c r="P67" s="0" t="n">
        <v>0.0737</v>
      </c>
      <c r="Q67" s="0" t="n">
        <v>92.5959</v>
      </c>
      <c r="R67" s="0" t="n">
        <v>0.6479</v>
      </c>
      <c r="S67" s="0" t="n">
        <v>92.744</v>
      </c>
      <c r="T67" s="0" t="n">
        <v>6.9315</v>
      </c>
      <c r="U67" s="0" t="n">
        <v>6.6852</v>
      </c>
      <c r="V67" s="0" t="n">
        <v>55.7209</v>
      </c>
      <c r="W67" s="0" t="n">
        <v>0.0619</v>
      </c>
      <c r="X67" s="0" t="n">
        <v>6.6852</v>
      </c>
      <c r="Y67" s="0" t="n">
        <v>55.7209</v>
      </c>
      <c r="Z67" s="0" t="n">
        <v>0</v>
      </c>
      <c r="AA67" s="0" t="n">
        <v>0</v>
      </c>
      <c r="AB67" s="0" t="n">
        <v>8</v>
      </c>
      <c r="AC67" s="0" t="s">
        <v>210</v>
      </c>
      <c r="AD67" s="0" t="n">
        <v>50000</v>
      </c>
      <c r="AE67" s="0" t="n">
        <v>46297.95</v>
      </c>
      <c r="AF67" s="0" t="n">
        <v>46297.95</v>
      </c>
      <c r="AG67" s="0" t="n">
        <v>0.001444</v>
      </c>
      <c r="AH67" s="4" t="b">
        <f aca="false">FALSE()</f>
        <v>0</v>
      </c>
      <c r="AJ67" s="4" t="b">
        <f aca="false">FALSE()</f>
        <v>0</v>
      </c>
      <c r="AK67" s="4" t="b">
        <f aca="false">FALSE()</f>
        <v>0</v>
      </c>
      <c r="AL67" s="0" t="s">
        <v>67</v>
      </c>
      <c r="AM67" s="0" t="n">
        <v>3.1596</v>
      </c>
      <c r="AN67" s="0" t="n">
        <v>-3.0306</v>
      </c>
      <c r="AO67" s="0" t="n">
        <v>6.4482</v>
      </c>
      <c r="AP67" s="0" t="n">
        <v>-5.9322</v>
      </c>
      <c r="AQ67" s="0" t="n">
        <v>13.4123</v>
      </c>
      <c r="AR67" s="0" t="n">
        <v>-11.3485</v>
      </c>
    </row>
    <row r="68" customFormat="false" ht="15" hidden="false" customHeight="false" outlineLevel="0" collapsed="false">
      <c r="A68" s="0" t="s">
        <v>335</v>
      </c>
      <c r="B68" s="0" t="s">
        <v>336</v>
      </c>
      <c r="C68" s="0" t="s">
        <v>58</v>
      </c>
      <c r="D68" s="0" t="s">
        <v>59</v>
      </c>
      <c r="E68" s="0" t="s">
        <v>60</v>
      </c>
      <c r="F68" s="0" t="s">
        <v>61</v>
      </c>
      <c r="G68" s="0" t="n">
        <v>100</v>
      </c>
      <c r="H68" s="0" t="n">
        <v>0.0712</v>
      </c>
      <c r="I68" s="0" t="n">
        <v>2</v>
      </c>
      <c r="J68" s="0" t="s">
        <v>62</v>
      </c>
      <c r="K68" s="0" t="s">
        <v>337</v>
      </c>
      <c r="L68" s="0" t="s">
        <v>338</v>
      </c>
      <c r="M68" s="0" t="s">
        <v>65</v>
      </c>
      <c r="N68" s="0" t="n">
        <v>12.7228</v>
      </c>
      <c r="O68" s="0" t="n">
        <v>25</v>
      </c>
      <c r="P68" s="0" t="n">
        <v>0.0708</v>
      </c>
      <c r="Q68" s="0" t="n">
        <v>100.3282</v>
      </c>
      <c r="R68" s="0" t="n">
        <v>1.7028</v>
      </c>
      <c r="S68" s="0" t="n">
        <v>101.328</v>
      </c>
      <c r="T68" s="0" t="n">
        <v>8.4861</v>
      </c>
      <c r="U68" s="0" t="n">
        <v>8.196</v>
      </c>
      <c r="V68" s="0" t="n">
        <v>88.7139</v>
      </c>
      <c r="W68" s="0" t="n">
        <v>0.0822</v>
      </c>
      <c r="X68" s="0" t="n">
        <v>8.196</v>
      </c>
      <c r="Y68" s="0" t="n">
        <v>88.7139</v>
      </c>
      <c r="Z68" s="0" t="n">
        <v>0</v>
      </c>
      <c r="AA68" s="0" t="n">
        <v>0</v>
      </c>
      <c r="AB68" s="0" t="n">
        <v>-2</v>
      </c>
      <c r="AC68" s="0" t="s">
        <v>152</v>
      </c>
      <c r="AD68" s="0" t="n">
        <v>100000</v>
      </c>
      <c r="AE68" s="0" t="n">
        <v>100328.2</v>
      </c>
      <c r="AF68" s="0" t="n">
        <v>100328.2</v>
      </c>
      <c r="AG68" s="0" t="n">
        <v>0.003129</v>
      </c>
      <c r="AH68" s="4" t="b">
        <f aca="false">FALSE()</f>
        <v>0</v>
      </c>
      <c r="AJ68" s="4" t="b">
        <f aca="false">FALSE()</f>
        <v>0</v>
      </c>
      <c r="AK68" s="4" t="b">
        <f aca="false">FALSE()</f>
        <v>0</v>
      </c>
      <c r="AL68" s="0" t="s">
        <v>67</v>
      </c>
      <c r="AM68" s="0" t="n">
        <v>4.2227</v>
      </c>
      <c r="AN68" s="0" t="n">
        <v>-4.0002</v>
      </c>
      <c r="AO68" s="0" t="n">
        <v>8.6679</v>
      </c>
      <c r="AP68" s="0" t="n">
        <v>-7.7779</v>
      </c>
      <c r="AQ68" s="0" t="n">
        <v>18.2259</v>
      </c>
      <c r="AR68" s="0" t="n">
        <v>-14.6657</v>
      </c>
    </row>
    <row r="69" customFormat="false" ht="15" hidden="false" customHeight="false" outlineLevel="0" collapsed="false">
      <c r="A69" s="0" t="s">
        <v>339</v>
      </c>
      <c r="B69" s="0" t="s">
        <v>340</v>
      </c>
      <c r="C69" s="0" t="s">
        <v>58</v>
      </c>
      <c r="D69" s="0" t="s">
        <v>59</v>
      </c>
      <c r="E69" s="0" t="s">
        <v>60</v>
      </c>
      <c r="F69" s="0" t="s">
        <v>61</v>
      </c>
      <c r="G69" s="0" t="n">
        <v>100</v>
      </c>
      <c r="H69" s="0" t="n">
        <v>0.0561</v>
      </c>
      <c r="I69" s="0" t="n">
        <v>2</v>
      </c>
      <c r="J69" s="0" t="s">
        <v>62</v>
      </c>
      <c r="K69" s="0" t="s">
        <v>341</v>
      </c>
      <c r="L69" s="0" t="s">
        <v>342</v>
      </c>
      <c r="M69" s="0" t="s">
        <v>65</v>
      </c>
      <c r="N69" s="0" t="n">
        <v>28.23</v>
      </c>
      <c r="O69" s="0" t="n">
        <v>32</v>
      </c>
      <c r="P69" s="0" t="n">
        <v>0.0661</v>
      </c>
      <c r="Q69" s="0" t="n">
        <v>87.3205</v>
      </c>
      <c r="R69" s="0" t="n">
        <v>0.7802</v>
      </c>
      <c r="S69" s="0" t="n">
        <v>87.4816</v>
      </c>
      <c r="T69" s="0" t="n">
        <v>13.5165</v>
      </c>
      <c r="U69" s="0" t="n">
        <v>13.0841</v>
      </c>
      <c r="V69" s="0" t="n">
        <v>264.8212</v>
      </c>
      <c r="W69" s="0" t="n">
        <v>0.1143</v>
      </c>
      <c r="X69" s="0" t="n">
        <v>13.0841</v>
      </c>
      <c r="Y69" s="0" t="n">
        <v>264.8212</v>
      </c>
      <c r="Z69" s="0" t="n">
        <v>0</v>
      </c>
      <c r="AA69" s="0" t="n">
        <v>0</v>
      </c>
      <c r="AB69" s="0" t="n">
        <v>3</v>
      </c>
      <c r="AC69" s="0" t="s">
        <v>72</v>
      </c>
      <c r="AD69" s="0" t="n">
        <v>500000</v>
      </c>
      <c r="AE69" s="0" t="n">
        <v>436602.5</v>
      </c>
      <c r="AF69" s="0" t="n">
        <v>436602.5</v>
      </c>
      <c r="AG69" s="0" t="n">
        <v>0.013619</v>
      </c>
      <c r="AH69" s="4" t="b">
        <f aca="false">FALSE()</f>
        <v>0</v>
      </c>
      <c r="AJ69" s="4" t="b">
        <f aca="false">FALSE()</f>
        <v>0</v>
      </c>
      <c r="AK69" s="4" t="b">
        <f aca="false">FALSE()</f>
        <v>0</v>
      </c>
      <c r="AL69" s="0" t="s">
        <v>67</v>
      </c>
      <c r="AM69" s="0" t="n">
        <v>6.0016</v>
      </c>
      <c r="AN69" s="0" t="n">
        <v>-5.4235</v>
      </c>
      <c r="AO69" s="0" t="n">
        <v>12.5813</v>
      </c>
      <c r="AP69" s="0" t="n">
        <v>-10.2689</v>
      </c>
      <c r="AQ69" s="0" t="n">
        <v>27.4751</v>
      </c>
      <c r="AR69" s="0" t="n">
        <v>-18.2253</v>
      </c>
    </row>
    <row r="70" customFormat="false" ht="15" hidden="false" customHeight="false" outlineLevel="0" collapsed="false">
      <c r="A70" s="0" t="s">
        <v>343</v>
      </c>
      <c r="B70" s="0" t="s">
        <v>344</v>
      </c>
      <c r="C70" s="0" t="s">
        <v>58</v>
      </c>
      <c r="D70" s="0" t="s">
        <v>59</v>
      </c>
      <c r="E70" s="0" t="s">
        <v>60</v>
      </c>
      <c r="F70" s="0" t="s">
        <v>61</v>
      </c>
      <c r="G70" s="0" t="n">
        <v>100</v>
      </c>
      <c r="H70" s="0" t="n">
        <v>0.0551</v>
      </c>
      <c r="I70" s="0" t="n">
        <v>2</v>
      </c>
      <c r="J70" s="0" t="s">
        <v>62</v>
      </c>
      <c r="K70" s="0" t="s">
        <v>345</v>
      </c>
      <c r="L70" s="0" t="s">
        <v>346</v>
      </c>
      <c r="M70" s="0" t="s">
        <v>65</v>
      </c>
      <c r="N70" s="0" t="n">
        <v>7.1348</v>
      </c>
      <c r="O70" s="0" t="n">
        <v>21</v>
      </c>
      <c r="P70" s="0" t="n">
        <v>0.0687</v>
      </c>
      <c r="Q70" s="0" t="n">
        <v>92.5416</v>
      </c>
      <c r="R70" s="0" t="n">
        <v>1.1982</v>
      </c>
      <c r="S70" s="0" t="n">
        <v>93.3217</v>
      </c>
      <c r="T70" s="0" t="n">
        <v>5.8495</v>
      </c>
      <c r="U70" s="0" t="n">
        <v>5.6552</v>
      </c>
      <c r="V70" s="0" t="n">
        <v>38.4933</v>
      </c>
      <c r="W70" s="0" t="n">
        <v>0.0523</v>
      </c>
      <c r="X70" s="0" t="n">
        <v>5.6552</v>
      </c>
      <c r="Y70" s="0" t="n">
        <v>38.4933</v>
      </c>
      <c r="Z70" s="0" t="n">
        <v>0</v>
      </c>
      <c r="AA70" s="0" t="n">
        <v>0</v>
      </c>
      <c r="AB70" s="0" t="n">
        <v>7</v>
      </c>
      <c r="AC70" s="0" t="s">
        <v>210</v>
      </c>
      <c r="AD70" s="0" t="n">
        <v>10000</v>
      </c>
      <c r="AE70" s="0" t="n">
        <v>9254.16</v>
      </c>
      <c r="AF70" s="0" t="n">
        <v>9254.16</v>
      </c>
      <c r="AG70" s="0" t="n">
        <v>0.000289</v>
      </c>
      <c r="AH70" s="4" t="b">
        <f aca="false">FALSE()</f>
        <v>0</v>
      </c>
      <c r="AJ70" s="4" t="b">
        <f aca="false">FALSE()</f>
        <v>0</v>
      </c>
      <c r="AK70" s="4" t="b">
        <f aca="false">FALSE()</f>
        <v>0</v>
      </c>
      <c r="AL70" s="0" t="s">
        <v>67</v>
      </c>
      <c r="AM70" s="0" t="n">
        <v>2.6612</v>
      </c>
      <c r="AN70" s="0" t="n">
        <v>-2.5722</v>
      </c>
      <c r="AO70" s="0" t="n">
        <v>5.4115</v>
      </c>
      <c r="AP70" s="0" t="n">
        <v>-5.0553</v>
      </c>
      <c r="AQ70" s="0" t="n">
        <v>11.1793</v>
      </c>
      <c r="AR70" s="0" t="n">
        <v>-9.7544</v>
      </c>
    </row>
    <row r="71" customFormat="false" ht="15" hidden="false" customHeight="false" outlineLevel="0" collapsed="false">
      <c r="A71" s="0" t="s">
        <v>347</v>
      </c>
      <c r="B71" s="0" t="s">
        <v>348</v>
      </c>
      <c r="C71" s="0" t="s">
        <v>58</v>
      </c>
      <c r="D71" s="0" t="s">
        <v>59</v>
      </c>
      <c r="E71" s="0" t="s">
        <v>60</v>
      </c>
      <c r="F71" s="0" t="s">
        <v>61</v>
      </c>
      <c r="G71" s="0" t="n">
        <v>100</v>
      </c>
      <c r="H71" s="0" t="n">
        <v>0.0605</v>
      </c>
      <c r="I71" s="0" t="n">
        <v>2</v>
      </c>
      <c r="J71" s="0" t="s">
        <v>62</v>
      </c>
      <c r="K71" s="0" t="s">
        <v>349</v>
      </c>
      <c r="L71" s="0" t="s">
        <v>350</v>
      </c>
      <c r="M71" s="0" t="s">
        <v>65</v>
      </c>
      <c r="N71" s="0" t="n">
        <v>10.2313</v>
      </c>
      <c r="O71" s="0" t="n">
        <v>22</v>
      </c>
      <c r="P71" s="0" t="n">
        <v>0.071</v>
      </c>
      <c r="Q71" s="0" t="n">
        <v>92.5721</v>
      </c>
      <c r="R71" s="0" t="n">
        <v>1.3361</v>
      </c>
      <c r="S71" s="0" t="n">
        <v>92.8074</v>
      </c>
      <c r="T71" s="0" t="n">
        <v>7.538</v>
      </c>
      <c r="U71" s="0" t="n">
        <v>7.2796</v>
      </c>
      <c r="V71" s="0" t="n">
        <v>66.5795</v>
      </c>
      <c r="W71" s="0" t="n">
        <v>0.0674</v>
      </c>
      <c r="X71" s="0" t="n">
        <v>7.2796</v>
      </c>
      <c r="Y71" s="0" t="n">
        <v>66.5795</v>
      </c>
      <c r="Z71" s="0" t="n">
        <v>0</v>
      </c>
      <c r="AA71" s="0" t="n">
        <v>0</v>
      </c>
      <c r="AB71" s="0" t="n">
        <v>-4</v>
      </c>
      <c r="AC71" s="0" t="s">
        <v>152</v>
      </c>
      <c r="AD71" s="0" t="n">
        <v>5000</v>
      </c>
      <c r="AE71" s="0" t="n">
        <v>4628.61</v>
      </c>
      <c r="AF71" s="0" t="n">
        <v>4628.61</v>
      </c>
      <c r="AG71" s="0" t="n">
        <v>0.000144</v>
      </c>
      <c r="AH71" s="4" t="b">
        <f aca="false">FALSE()</f>
        <v>0</v>
      </c>
      <c r="AJ71" s="4" t="b">
        <f aca="false">FALSE()</f>
        <v>0</v>
      </c>
      <c r="AK71" s="4" t="b">
        <f aca="false">FALSE()</f>
        <v>0</v>
      </c>
      <c r="AL71" s="0" t="s">
        <v>67</v>
      </c>
      <c r="AM71" s="0" t="n">
        <v>3.4465</v>
      </c>
      <c r="AN71" s="0" t="n">
        <v>-3.2924</v>
      </c>
      <c r="AO71" s="0" t="n">
        <v>7.047</v>
      </c>
      <c r="AP71" s="0" t="n">
        <v>-6.4307</v>
      </c>
      <c r="AQ71" s="0" t="n">
        <v>14.7104</v>
      </c>
      <c r="AR71" s="0" t="n">
        <v>-12.2451</v>
      </c>
    </row>
    <row r="72" customFormat="false" ht="15" hidden="false" customHeight="false" outlineLevel="0" collapsed="false">
      <c r="A72" s="0" t="s">
        <v>351</v>
      </c>
      <c r="B72" s="0" t="s">
        <v>352</v>
      </c>
      <c r="C72" s="0" t="s">
        <v>58</v>
      </c>
      <c r="D72" s="0" t="s">
        <v>59</v>
      </c>
      <c r="E72" s="0" t="s">
        <v>60</v>
      </c>
      <c r="F72" s="0" t="s">
        <v>61</v>
      </c>
      <c r="G72" s="0" t="n">
        <v>100</v>
      </c>
      <c r="H72" s="0" t="n">
        <v>0.0715</v>
      </c>
      <c r="I72" s="0" t="n">
        <v>2</v>
      </c>
      <c r="J72" s="0" t="s">
        <v>62</v>
      </c>
      <c r="K72" s="0" t="s">
        <v>353</v>
      </c>
      <c r="L72" s="0" t="s">
        <v>354</v>
      </c>
      <c r="M72" s="0" t="s">
        <v>65</v>
      </c>
      <c r="N72" s="0" t="n">
        <v>5.7358</v>
      </c>
      <c r="O72" s="0" t="n">
        <v>9</v>
      </c>
      <c r="P72" s="0" t="n">
        <v>0.0662</v>
      </c>
      <c r="Q72" s="0" t="n">
        <v>102.4104</v>
      </c>
      <c r="R72" s="0" t="n">
        <v>1.2128</v>
      </c>
      <c r="S72" s="0" t="n">
        <v>103.2803</v>
      </c>
      <c r="T72" s="0" t="n">
        <v>4.6546</v>
      </c>
      <c r="U72" s="0" t="n">
        <v>4.5055</v>
      </c>
      <c r="V72" s="0" t="n">
        <v>24.6582</v>
      </c>
      <c r="W72" s="0" t="n">
        <v>0.0461</v>
      </c>
      <c r="X72" s="0" t="n">
        <v>4.5055</v>
      </c>
      <c r="Y72" s="0" t="n">
        <v>24.6582</v>
      </c>
      <c r="Z72" s="0" t="n">
        <v>0</v>
      </c>
      <c r="AA72" s="0" t="n">
        <v>0</v>
      </c>
      <c r="AB72" s="0" t="n">
        <v>4</v>
      </c>
      <c r="AC72" s="0" t="s">
        <v>77</v>
      </c>
      <c r="AD72" s="0" t="n">
        <v>200000</v>
      </c>
      <c r="AE72" s="0" t="n">
        <v>204820.8</v>
      </c>
      <c r="AF72" s="0" t="n">
        <v>204820.8</v>
      </c>
      <c r="AG72" s="0" t="n">
        <v>0.006389</v>
      </c>
      <c r="AH72" s="4" t="b">
        <f aca="false">FALSE()</f>
        <v>0</v>
      </c>
      <c r="AJ72" s="4" t="b">
        <f aca="false">FALSE()</f>
        <v>0</v>
      </c>
      <c r="AK72" s="4" t="b">
        <f aca="false">FALSE()</f>
        <v>0</v>
      </c>
      <c r="AL72" s="0" t="s">
        <v>67</v>
      </c>
      <c r="AM72" s="0" t="n">
        <v>2.3386</v>
      </c>
      <c r="AN72" s="0" t="n">
        <v>-2.2755</v>
      </c>
      <c r="AO72" s="0" t="n">
        <v>4.7404</v>
      </c>
      <c r="AP72" s="0" t="n">
        <v>-4.4878</v>
      </c>
      <c r="AQ72" s="0" t="n">
        <v>9.7333</v>
      </c>
      <c r="AR72" s="0" t="n">
        <v>-8.7231</v>
      </c>
    </row>
    <row r="73" customFormat="false" ht="15" hidden="false" customHeight="false" outlineLevel="0" collapsed="false">
      <c r="A73" s="0" t="s">
        <v>355</v>
      </c>
      <c r="B73" s="0" t="s">
        <v>356</v>
      </c>
      <c r="C73" s="0" t="s">
        <v>58</v>
      </c>
      <c r="D73" s="0" t="s">
        <v>59</v>
      </c>
      <c r="E73" s="0" t="s">
        <v>60</v>
      </c>
      <c r="F73" s="0" t="s">
        <v>61</v>
      </c>
      <c r="G73" s="0" t="n">
        <v>100</v>
      </c>
      <c r="H73" s="0" t="n">
        <v>0.0582</v>
      </c>
      <c r="I73" s="0" t="n">
        <v>2</v>
      </c>
      <c r="J73" s="0" t="s">
        <v>62</v>
      </c>
      <c r="K73" s="0" t="s">
        <v>357</v>
      </c>
      <c r="L73" s="0" t="s">
        <v>358</v>
      </c>
      <c r="M73" s="0" t="s">
        <v>65</v>
      </c>
      <c r="N73" s="0" t="n">
        <v>8.4326</v>
      </c>
      <c r="O73" s="0" t="n">
        <v>9</v>
      </c>
      <c r="P73" s="0" t="n">
        <v>0.0728</v>
      </c>
      <c r="Q73" s="0" t="n">
        <v>91.2634</v>
      </c>
      <c r="R73" s="0" t="n">
        <v>0.188</v>
      </c>
      <c r="S73" s="0" t="n">
        <v>92.0383</v>
      </c>
      <c r="T73" s="0" t="n">
        <v>6.4248</v>
      </c>
      <c r="U73" s="0" t="n">
        <v>6.1992</v>
      </c>
      <c r="V73" s="0" t="n">
        <v>47.0204</v>
      </c>
      <c r="W73" s="0" t="n">
        <v>0.0566</v>
      </c>
      <c r="X73" s="0" t="n">
        <v>6.1992</v>
      </c>
      <c r="Y73" s="0" t="n">
        <v>47.0204</v>
      </c>
      <c r="Z73" s="0" t="n">
        <v>0</v>
      </c>
      <c r="AA73" s="0" t="n">
        <v>0</v>
      </c>
      <c r="AB73" s="0" t="n">
        <v>2</v>
      </c>
      <c r="AC73" s="0" t="s">
        <v>210</v>
      </c>
      <c r="AD73" s="0" t="n">
        <v>10000</v>
      </c>
      <c r="AE73" s="0" t="n">
        <v>9126.34</v>
      </c>
      <c r="AF73" s="0" t="n">
        <v>9126.34</v>
      </c>
      <c r="AG73" s="0" t="n">
        <v>0.000285</v>
      </c>
      <c r="AH73" s="4" t="b">
        <f aca="false">FALSE()</f>
        <v>0</v>
      </c>
      <c r="AJ73" s="4" t="b">
        <f aca="false">FALSE()</f>
        <v>0</v>
      </c>
      <c r="AK73" s="4" t="b">
        <f aca="false">FALSE()</f>
        <v>0</v>
      </c>
      <c r="AL73" s="0" t="s">
        <v>67</v>
      </c>
      <c r="AM73" s="0" t="n">
        <v>2.8824</v>
      </c>
      <c r="AN73" s="0" t="n">
        <v>-2.7752</v>
      </c>
      <c r="AO73" s="0" t="n">
        <v>5.8722</v>
      </c>
      <c r="AP73" s="0" t="n">
        <v>-5.443</v>
      </c>
      <c r="AQ73" s="0" t="n">
        <v>12.1734</v>
      </c>
      <c r="AR73" s="0" t="n">
        <v>-10.457</v>
      </c>
    </row>
    <row r="74" customFormat="false" ht="15" hidden="false" customHeight="false" outlineLevel="0" collapsed="false">
      <c r="A74" s="0" t="s">
        <v>359</v>
      </c>
      <c r="B74" s="0" t="s">
        <v>360</v>
      </c>
      <c r="C74" s="0" t="s">
        <v>58</v>
      </c>
      <c r="D74" s="0" t="s">
        <v>59</v>
      </c>
      <c r="E74" s="0" t="s">
        <v>60</v>
      </c>
      <c r="F74" s="0" t="s">
        <v>61</v>
      </c>
      <c r="G74" s="0" t="n">
        <v>100</v>
      </c>
      <c r="H74" s="0" t="n">
        <v>0.0664</v>
      </c>
      <c r="I74" s="0" t="n">
        <v>2</v>
      </c>
      <c r="J74" s="0" t="s">
        <v>62</v>
      </c>
      <c r="K74" s="0" t="s">
        <v>361</v>
      </c>
      <c r="L74" s="0" t="s">
        <v>362</v>
      </c>
      <c r="M74" s="0" t="s">
        <v>65</v>
      </c>
      <c r="N74" s="0" t="n">
        <v>31.6167</v>
      </c>
      <c r="O74" s="0" t="n">
        <v>38</v>
      </c>
      <c r="P74" s="0" t="n">
        <v>0.0717</v>
      </c>
      <c r="Q74" s="0" t="n">
        <v>93.4117</v>
      </c>
      <c r="R74" s="0" t="n">
        <v>0.1912</v>
      </c>
      <c r="S74" s="0" t="n">
        <v>93.4463</v>
      </c>
      <c r="T74" s="0" t="n">
        <v>13.0366</v>
      </c>
      <c r="U74" s="0" t="n">
        <v>12.5854</v>
      </c>
      <c r="V74" s="0" t="n">
        <v>260.4158</v>
      </c>
      <c r="W74" s="0" t="n">
        <v>0.1176</v>
      </c>
      <c r="X74" s="0" t="n">
        <v>12.5854</v>
      </c>
      <c r="Y74" s="0" t="n">
        <v>260.4158</v>
      </c>
      <c r="Z74" s="0" t="n">
        <v>0</v>
      </c>
      <c r="AA74" s="0" t="n">
        <v>0</v>
      </c>
      <c r="AB74" s="0" t="n">
        <v>5</v>
      </c>
      <c r="AC74" s="0" t="s">
        <v>72</v>
      </c>
      <c r="AD74" s="0" t="n">
        <v>20000</v>
      </c>
      <c r="AE74" s="0" t="n">
        <v>18682.34</v>
      </c>
      <c r="AF74" s="0" t="n">
        <v>18682.34</v>
      </c>
      <c r="AG74" s="0" t="n">
        <v>0.000583</v>
      </c>
      <c r="AH74" s="4" t="b">
        <f aca="false">FALSE()</f>
        <v>0</v>
      </c>
      <c r="AJ74" s="4" t="b">
        <f aca="false">FALSE()</f>
        <v>0</v>
      </c>
      <c r="AK74" s="4" t="b">
        <f aca="false">FALSE()</f>
        <v>0</v>
      </c>
      <c r="AL74" s="0" t="s">
        <v>67</v>
      </c>
      <c r="AM74" s="0" t="n">
        <v>6.1822</v>
      </c>
      <c r="AN74" s="0" t="n">
        <v>-5.574</v>
      </c>
      <c r="AO74" s="0" t="n">
        <v>12.9725</v>
      </c>
      <c r="AP74" s="0" t="n">
        <v>-10.5399</v>
      </c>
      <c r="AQ74" s="0" t="n">
        <v>28.3776</v>
      </c>
      <c r="AR74" s="0" t="n">
        <v>-18.6473</v>
      </c>
    </row>
    <row r="75" customFormat="false" ht="15" hidden="false" customHeight="false" outlineLevel="0" collapsed="false">
      <c r="A75" s="0" t="s">
        <v>363</v>
      </c>
      <c r="B75" s="0" t="s">
        <v>364</v>
      </c>
      <c r="C75" s="0" t="s">
        <v>58</v>
      </c>
      <c r="D75" s="0" t="s">
        <v>59</v>
      </c>
      <c r="E75" s="0" t="s">
        <v>60</v>
      </c>
      <c r="F75" s="0" t="s">
        <v>61</v>
      </c>
      <c r="G75" s="0" t="n">
        <v>100</v>
      </c>
      <c r="H75" s="0" t="n">
        <v>0.0649</v>
      </c>
      <c r="I75" s="0" t="n">
        <v>2</v>
      </c>
      <c r="J75" s="0" t="s">
        <v>62</v>
      </c>
      <c r="K75" s="0" t="s">
        <v>365</v>
      </c>
      <c r="L75" s="0" t="s">
        <v>366</v>
      </c>
      <c r="M75" s="0" t="s">
        <v>65</v>
      </c>
      <c r="N75" s="0" t="n">
        <v>13.87</v>
      </c>
      <c r="O75" s="0" t="n">
        <v>27</v>
      </c>
      <c r="P75" s="0" t="n">
        <v>0.0728</v>
      </c>
      <c r="Q75" s="0" t="n">
        <v>93.2813</v>
      </c>
      <c r="R75" s="0" t="n">
        <v>0.5404</v>
      </c>
      <c r="S75" s="0" t="n">
        <v>93.5541</v>
      </c>
      <c r="T75" s="0" t="n">
        <v>9.0219</v>
      </c>
      <c r="U75" s="0" t="n">
        <v>8.705</v>
      </c>
      <c r="V75" s="0" t="n">
        <v>100.8387</v>
      </c>
      <c r="W75" s="0" t="n">
        <v>0.0812</v>
      </c>
      <c r="X75" s="0" t="n">
        <v>8.705</v>
      </c>
      <c r="Y75" s="0" t="n">
        <v>100.8387</v>
      </c>
      <c r="Z75" s="0" t="n">
        <v>0</v>
      </c>
      <c r="AA75" s="0" t="n">
        <v>0</v>
      </c>
      <c r="AB75" s="0" t="n">
        <v>-2</v>
      </c>
      <c r="AC75" s="0" t="s">
        <v>152</v>
      </c>
      <c r="AD75" s="0" t="n">
        <v>10000</v>
      </c>
      <c r="AE75" s="0" t="n">
        <v>9328.13</v>
      </c>
      <c r="AF75" s="0" t="n">
        <v>9328.13</v>
      </c>
      <c r="AG75" s="0" t="n">
        <v>0.000291</v>
      </c>
      <c r="AH75" s="4" t="b">
        <f aca="false">FALSE()</f>
        <v>0</v>
      </c>
      <c r="AJ75" s="4" t="b">
        <f aca="false">FALSE()</f>
        <v>0</v>
      </c>
      <c r="AK75" s="4" t="b">
        <f aca="false">FALSE()</f>
        <v>0</v>
      </c>
      <c r="AL75" s="0" t="s">
        <v>67</v>
      </c>
      <c r="AM75" s="0" t="n">
        <v>4.1776</v>
      </c>
      <c r="AN75" s="0" t="n">
        <v>-3.9425</v>
      </c>
      <c r="AO75" s="0" t="n">
        <v>8.5905</v>
      </c>
      <c r="AP75" s="0" t="n">
        <v>-7.6498</v>
      </c>
      <c r="AQ75" s="0" t="n">
        <v>18.1215</v>
      </c>
      <c r="AR75" s="0" t="n">
        <v>-14.359</v>
      </c>
    </row>
    <row r="76" customFormat="false" ht="15" hidden="false" customHeight="false" outlineLevel="0" collapsed="false">
      <c r="A76" s="0" t="s">
        <v>367</v>
      </c>
      <c r="B76" s="0" t="s">
        <v>368</v>
      </c>
      <c r="C76" s="0" t="s">
        <v>58</v>
      </c>
      <c r="D76" s="0" t="s">
        <v>59</v>
      </c>
      <c r="E76" s="0" t="s">
        <v>60</v>
      </c>
      <c r="F76" s="0" t="s">
        <v>61</v>
      </c>
      <c r="G76" s="0" t="n">
        <v>100</v>
      </c>
      <c r="H76" s="0" t="n">
        <v>0.0549</v>
      </c>
      <c r="I76" s="0" t="n">
        <v>2</v>
      </c>
      <c r="J76" s="0" t="s">
        <v>62</v>
      </c>
      <c r="K76" s="0" t="s">
        <v>369</v>
      </c>
      <c r="L76" s="0" t="s">
        <v>370</v>
      </c>
      <c r="M76" s="0" t="s">
        <v>65</v>
      </c>
      <c r="N76" s="0" t="n">
        <v>2.8966</v>
      </c>
      <c r="O76" s="0" t="n">
        <v>11</v>
      </c>
      <c r="P76" s="0" t="n">
        <v>0.0719</v>
      </c>
      <c r="Q76" s="0" t="n">
        <v>96.1725</v>
      </c>
      <c r="R76" s="0" t="n">
        <v>1.3056</v>
      </c>
      <c r="S76" s="0" t="n">
        <v>97.0344</v>
      </c>
      <c r="T76" s="0" t="n">
        <v>2.3669</v>
      </c>
      <c r="U76" s="0" t="n">
        <v>2.2848</v>
      </c>
      <c r="V76" s="0" t="n">
        <v>6.4947</v>
      </c>
      <c r="W76" s="0" t="n">
        <v>0.022</v>
      </c>
      <c r="X76" s="0" t="n">
        <v>2.2848</v>
      </c>
      <c r="Y76" s="0" t="n">
        <v>6.4947</v>
      </c>
      <c r="Z76" s="0" t="n">
        <v>0</v>
      </c>
      <c r="AA76" s="0" t="n">
        <v>0</v>
      </c>
      <c r="AB76" s="0" t="n">
        <v>9</v>
      </c>
      <c r="AC76" s="0" t="s">
        <v>66</v>
      </c>
      <c r="AD76" s="0" t="n">
        <v>10000</v>
      </c>
      <c r="AE76" s="0" t="n">
        <v>9617.25</v>
      </c>
      <c r="AF76" s="0" t="n">
        <v>9617.25</v>
      </c>
      <c r="AG76" s="0" t="n">
        <v>0.0003</v>
      </c>
      <c r="AH76" s="4" t="b">
        <f aca="false">FALSE()</f>
        <v>0</v>
      </c>
      <c r="AJ76" s="4" t="b">
        <f aca="false">FALSE()</f>
        <v>0</v>
      </c>
      <c r="AK76" s="4" t="b">
        <f aca="false">FALSE()</f>
        <v>0</v>
      </c>
      <c r="AL76" s="0" t="s">
        <v>67</v>
      </c>
      <c r="AM76" s="0" t="n">
        <v>1.1065</v>
      </c>
      <c r="AN76" s="0" t="n">
        <v>-1.0909</v>
      </c>
      <c r="AO76" s="0" t="n">
        <v>2.2286</v>
      </c>
      <c r="AP76" s="0" t="n">
        <v>-2.1661</v>
      </c>
      <c r="AQ76" s="0" t="n">
        <v>4.5196</v>
      </c>
      <c r="AR76" s="0" t="n">
        <v>-4.2698</v>
      </c>
    </row>
    <row r="77" customFormat="false" ht="15" hidden="false" customHeight="false" outlineLevel="0" collapsed="false">
      <c r="A77" s="0" t="s">
        <v>371</v>
      </c>
      <c r="B77" s="0" t="s">
        <v>372</v>
      </c>
      <c r="C77" s="0" t="s">
        <v>58</v>
      </c>
      <c r="D77" s="0" t="s">
        <v>59</v>
      </c>
      <c r="E77" s="0" t="s">
        <v>60</v>
      </c>
      <c r="F77" s="0" t="s">
        <v>61</v>
      </c>
      <c r="G77" s="0" t="n">
        <v>100</v>
      </c>
      <c r="H77" s="0" t="n">
        <v>0.0626</v>
      </c>
      <c r="I77" s="0" t="n">
        <v>2</v>
      </c>
      <c r="J77" s="0" t="s">
        <v>62</v>
      </c>
      <c r="K77" s="0" t="s">
        <v>373</v>
      </c>
      <c r="L77" s="0" t="s">
        <v>374</v>
      </c>
      <c r="M77" s="0" t="s">
        <v>65</v>
      </c>
      <c r="N77" s="0" t="n">
        <v>8.9473</v>
      </c>
      <c r="O77" s="0" t="n">
        <v>21</v>
      </c>
      <c r="P77" s="0" t="n">
        <v>0.0712</v>
      </c>
      <c r="Q77" s="0" t="n">
        <v>94.5856</v>
      </c>
      <c r="R77" s="0" t="n">
        <v>0.794</v>
      </c>
      <c r="S77" s="0" t="n">
        <v>95.0714</v>
      </c>
      <c r="T77" s="0" t="n">
        <v>6.6594</v>
      </c>
      <c r="U77" s="0" t="n">
        <v>6.4305</v>
      </c>
      <c r="V77" s="0" t="n">
        <v>51.1685</v>
      </c>
      <c r="W77" s="0" t="n">
        <v>0.0608</v>
      </c>
      <c r="X77" s="0" t="n">
        <v>6.4305</v>
      </c>
      <c r="Y77" s="0" t="n">
        <v>51.1685</v>
      </c>
      <c r="Z77" s="0" t="n">
        <v>0</v>
      </c>
      <c r="AA77" s="0" t="n">
        <v>0</v>
      </c>
      <c r="AB77" s="0" t="n">
        <v>9</v>
      </c>
      <c r="AC77" s="0" t="s">
        <v>210</v>
      </c>
      <c r="AD77" s="0" t="n">
        <v>20000</v>
      </c>
      <c r="AE77" s="0" t="n">
        <v>18917.12</v>
      </c>
      <c r="AF77" s="0" t="n">
        <v>18917.12</v>
      </c>
      <c r="AG77" s="0" t="n">
        <v>0.00059</v>
      </c>
      <c r="AH77" s="4" t="b">
        <f aca="false">FALSE()</f>
        <v>0</v>
      </c>
      <c r="AJ77" s="4" t="b">
        <f aca="false">FALSE()</f>
        <v>0</v>
      </c>
      <c r="AK77" s="4" t="b">
        <f aca="false">FALSE()</f>
        <v>0</v>
      </c>
      <c r="AL77" s="0" t="s">
        <v>67</v>
      </c>
      <c r="AM77" s="0" t="n">
        <v>3.1017</v>
      </c>
      <c r="AN77" s="0" t="n">
        <v>-2.9807</v>
      </c>
      <c r="AO77" s="0" t="n">
        <v>6.3243</v>
      </c>
      <c r="AP77" s="0" t="n">
        <v>-5.8403</v>
      </c>
      <c r="AQ77" s="0" t="n">
        <v>13.1326</v>
      </c>
      <c r="AR77" s="0" t="n">
        <v>-11.1967</v>
      </c>
    </row>
    <row r="78" customFormat="false" ht="15" hidden="false" customHeight="false" outlineLevel="0" collapsed="false">
      <c r="A78" s="0" t="s">
        <v>375</v>
      </c>
      <c r="B78" s="0" t="s">
        <v>376</v>
      </c>
      <c r="C78" s="0" t="s">
        <v>58</v>
      </c>
      <c r="D78" s="0" t="s">
        <v>59</v>
      </c>
      <c r="E78" s="0" t="s">
        <v>60</v>
      </c>
      <c r="F78" s="0" t="s">
        <v>61</v>
      </c>
      <c r="G78" s="0" t="n">
        <v>100</v>
      </c>
      <c r="H78" s="0" t="n">
        <v>0.0665</v>
      </c>
      <c r="I78" s="0" t="n">
        <v>2</v>
      </c>
      <c r="J78" s="0" t="s">
        <v>62</v>
      </c>
      <c r="K78" s="0" t="s">
        <v>377</v>
      </c>
      <c r="L78" s="0" t="s">
        <v>378</v>
      </c>
      <c r="M78" s="0" t="s">
        <v>65</v>
      </c>
      <c r="N78" s="0" t="n">
        <v>2.152</v>
      </c>
      <c r="O78" s="0" t="n">
        <v>4</v>
      </c>
      <c r="P78" s="0" t="n">
        <v>0.0735</v>
      </c>
      <c r="Q78" s="0" t="n">
        <v>98.7197</v>
      </c>
      <c r="R78" s="0" t="n">
        <v>0.3129</v>
      </c>
      <c r="S78" s="0" t="n">
        <v>99.7255</v>
      </c>
      <c r="T78" s="0" t="n">
        <v>1.9048</v>
      </c>
      <c r="U78" s="0" t="n">
        <v>1.8373</v>
      </c>
      <c r="V78" s="0" t="n">
        <v>4.3575</v>
      </c>
      <c r="W78" s="0" t="n">
        <v>0.0181</v>
      </c>
      <c r="X78" s="0" t="n">
        <v>1.8373</v>
      </c>
      <c r="Y78" s="0" t="n">
        <v>4.3575</v>
      </c>
      <c r="Z78" s="0" t="n">
        <v>0</v>
      </c>
      <c r="AA78" s="0" t="n">
        <v>0</v>
      </c>
      <c r="AB78" s="0" t="n">
        <v>-1</v>
      </c>
      <c r="AC78" s="0" t="s">
        <v>66</v>
      </c>
      <c r="AD78" s="0" t="n">
        <v>200000</v>
      </c>
      <c r="AE78" s="0" t="n">
        <v>197439.4</v>
      </c>
      <c r="AF78" s="0" t="n">
        <v>197439.4</v>
      </c>
      <c r="AG78" s="0" t="n">
        <v>0.006159</v>
      </c>
      <c r="AH78" s="4" t="b">
        <f aca="false">FALSE()</f>
        <v>0</v>
      </c>
      <c r="AJ78" s="4" t="b">
        <f aca="false">FALSE()</f>
        <v>0</v>
      </c>
      <c r="AK78" s="4" t="b">
        <f aca="false">FALSE()</f>
        <v>0</v>
      </c>
      <c r="AL78" s="0" t="s">
        <v>67</v>
      </c>
      <c r="AM78" s="0" t="n">
        <v>0.9123</v>
      </c>
      <c r="AN78" s="0" t="n">
        <v>-0.9015</v>
      </c>
      <c r="AO78" s="0" t="n">
        <v>1.8353</v>
      </c>
      <c r="AP78" s="0" t="n">
        <v>-1.7923</v>
      </c>
      <c r="AQ78" s="0" t="n">
        <v>3.7136</v>
      </c>
      <c r="AR78" s="0" t="n">
        <v>-3.5415</v>
      </c>
    </row>
    <row r="79" customFormat="false" ht="15" hidden="false" customHeight="false" outlineLevel="0" collapsed="false">
      <c r="A79" s="0" t="s">
        <v>379</v>
      </c>
      <c r="B79" s="0" t="s">
        <v>380</v>
      </c>
      <c r="C79" s="0" t="s">
        <v>58</v>
      </c>
      <c r="D79" s="0" t="s">
        <v>59</v>
      </c>
      <c r="E79" s="0" t="s">
        <v>60</v>
      </c>
      <c r="F79" s="0" t="s">
        <v>61</v>
      </c>
      <c r="G79" s="0" t="n">
        <v>100</v>
      </c>
      <c r="H79" s="0" t="n">
        <v>0.0649</v>
      </c>
      <c r="I79" s="0" t="n">
        <v>2</v>
      </c>
      <c r="J79" s="0" t="s">
        <v>62</v>
      </c>
      <c r="K79" s="0" t="s">
        <v>381</v>
      </c>
      <c r="L79" s="0" t="s">
        <v>382</v>
      </c>
      <c r="M79" s="0" t="s">
        <v>65</v>
      </c>
      <c r="N79" s="0" t="n">
        <v>7.4935</v>
      </c>
      <c r="O79" s="0" t="n">
        <v>12</v>
      </c>
      <c r="P79" s="0" t="n">
        <v>0.0746</v>
      </c>
      <c r="Q79" s="0" t="n">
        <v>94.7843</v>
      </c>
      <c r="R79" s="0" t="n">
        <v>0.6632</v>
      </c>
      <c r="S79" s="0" t="n">
        <v>95.3333</v>
      </c>
      <c r="T79" s="0" t="n">
        <v>5.6944</v>
      </c>
      <c r="U79" s="0" t="n">
        <v>5.4896</v>
      </c>
      <c r="V79" s="0" t="n">
        <v>36.8728</v>
      </c>
      <c r="W79" s="0" t="n">
        <v>0.052</v>
      </c>
      <c r="X79" s="0" t="n">
        <v>5.4896</v>
      </c>
      <c r="Y79" s="0" t="n">
        <v>36.8728</v>
      </c>
      <c r="Z79" s="0" t="n">
        <v>0</v>
      </c>
      <c r="AA79" s="0" t="n">
        <v>0</v>
      </c>
      <c r="AB79" s="0" t="n">
        <v>-4</v>
      </c>
      <c r="AC79" s="0" t="s">
        <v>210</v>
      </c>
      <c r="AD79" s="0" t="n">
        <v>50000</v>
      </c>
      <c r="AE79" s="0" t="n">
        <v>47392.15</v>
      </c>
      <c r="AF79" s="0" t="n">
        <v>47392.15</v>
      </c>
      <c r="AG79" s="0" t="n">
        <v>0.001478</v>
      </c>
      <c r="AH79" s="4" t="b">
        <f aca="false">FALSE()</f>
        <v>0</v>
      </c>
      <c r="AJ79" s="4" t="b">
        <f aca="false">FALSE()</f>
        <v>0</v>
      </c>
      <c r="AK79" s="4" t="b">
        <f aca="false">FALSE()</f>
        <v>0</v>
      </c>
      <c r="AL79" s="0" t="s">
        <v>67</v>
      </c>
      <c r="AM79" s="0" t="n">
        <v>2.6453</v>
      </c>
      <c r="AN79" s="0" t="n">
        <v>-2.558</v>
      </c>
      <c r="AO79" s="0" t="n">
        <v>5.378</v>
      </c>
      <c r="AP79" s="0" t="n">
        <v>-5.0285</v>
      </c>
      <c r="AQ79" s="0" t="n">
        <v>11.1056</v>
      </c>
      <c r="AR79" s="0" t="n">
        <v>-9.7076</v>
      </c>
    </row>
    <row r="80" customFormat="false" ht="15" hidden="false" customHeight="false" outlineLevel="0" collapsed="false">
      <c r="A80" s="0" t="s">
        <v>383</v>
      </c>
      <c r="B80" s="0" t="s">
        <v>384</v>
      </c>
      <c r="C80" s="0" t="s">
        <v>58</v>
      </c>
      <c r="D80" s="0" t="s">
        <v>59</v>
      </c>
      <c r="E80" s="0" t="s">
        <v>60</v>
      </c>
      <c r="F80" s="0" t="s">
        <v>61</v>
      </c>
      <c r="G80" s="0" t="n">
        <v>100</v>
      </c>
      <c r="H80" s="0" t="n">
        <v>0.0595</v>
      </c>
      <c r="I80" s="0" t="n">
        <v>2</v>
      </c>
      <c r="J80" s="0" t="s">
        <v>62</v>
      </c>
      <c r="K80" s="0" t="s">
        <v>385</v>
      </c>
      <c r="L80" s="0" t="s">
        <v>386</v>
      </c>
      <c r="M80" s="0" t="s">
        <v>65</v>
      </c>
      <c r="N80" s="0" t="n">
        <v>28.8597</v>
      </c>
      <c r="O80" s="0" t="n">
        <v>39</v>
      </c>
      <c r="P80" s="0" t="n">
        <v>0.0746</v>
      </c>
      <c r="Q80" s="0" t="n">
        <v>82.2688</v>
      </c>
      <c r="R80" s="0" t="n">
        <v>1.4394</v>
      </c>
      <c r="S80" s="0" t="n">
        <v>83.3078</v>
      </c>
      <c r="T80" s="0" t="n">
        <v>12.6784</v>
      </c>
      <c r="U80" s="0" t="n">
        <v>12.2225</v>
      </c>
      <c r="V80" s="0" t="n">
        <v>240.0864</v>
      </c>
      <c r="W80" s="0" t="n">
        <v>0.1006</v>
      </c>
      <c r="X80" s="0" t="n">
        <v>12.2225</v>
      </c>
      <c r="Y80" s="0" t="n">
        <v>240.0864</v>
      </c>
      <c r="Z80" s="0" t="n">
        <v>0</v>
      </c>
      <c r="AA80" s="0" t="n">
        <v>0</v>
      </c>
      <c r="AB80" s="0" t="n">
        <v>7</v>
      </c>
      <c r="AC80" s="0" t="s">
        <v>72</v>
      </c>
      <c r="AD80" s="0" t="n">
        <v>20000</v>
      </c>
      <c r="AE80" s="0" t="n">
        <v>16453.76</v>
      </c>
      <c r="AF80" s="0" t="n">
        <v>16453.76</v>
      </c>
      <c r="AG80" s="0" t="n">
        <v>0.000513</v>
      </c>
      <c r="AH80" s="4" t="b">
        <f aca="false">FALSE()</f>
        <v>0</v>
      </c>
      <c r="AJ80" s="4" t="b">
        <f aca="false">FALSE()</f>
        <v>0</v>
      </c>
      <c r="AK80" s="4" t="b">
        <f aca="false">FALSE()</f>
        <v>0</v>
      </c>
      <c r="AL80" s="0" t="s">
        <v>67</v>
      </c>
      <c r="AM80" s="0" t="n">
        <v>5.2745</v>
      </c>
      <c r="AN80" s="0" t="n">
        <v>-4.7808</v>
      </c>
      <c r="AO80" s="0" t="n">
        <v>11.0429</v>
      </c>
      <c r="AP80" s="0" t="n">
        <v>-9.0677</v>
      </c>
      <c r="AQ80" s="0" t="n">
        <v>24.0609</v>
      </c>
      <c r="AR80" s="0" t="n">
        <v>-16.1603</v>
      </c>
    </row>
    <row r="81" customFormat="false" ht="15" hidden="false" customHeight="false" outlineLevel="0" collapsed="false">
      <c r="A81" s="0" t="s">
        <v>387</v>
      </c>
      <c r="B81" s="0" t="s">
        <v>388</v>
      </c>
      <c r="C81" s="0" t="s">
        <v>58</v>
      </c>
      <c r="D81" s="0" t="s">
        <v>59</v>
      </c>
      <c r="E81" s="0" t="s">
        <v>60</v>
      </c>
      <c r="F81" s="0" t="s">
        <v>61</v>
      </c>
      <c r="G81" s="0" t="n">
        <v>100</v>
      </c>
      <c r="H81" s="0" t="n">
        <v>0.0645</v>
      </c>
      <c r="I81" s="0" t="n">
        <v>2</v>
      </c>
      <c r="J81" s="0" t="s">
        <v>62</v>
      </c>
      <c r="K81" s="0" t="s">
        <v>389</v>
      </c>
      <c r="L81" s="0" t="s">
        <v>390</v>
      </c>
      <c r="M81" s="0" t="s">
        <v>65</v>
      </c>
      <c r="N81" s="0" t="n">
        <v>1.7741</v>
      </c>
      <c r="O81" s="0" t="n">
        <v>3</v>
      </c>
      <c r="P81" s="0" t="n">
        <v>0.0669</v>
      </c>
      <c r="Q81" s="0" t="n">
        <v>99.6628</v>
      </c>
      <c r="R81" s="0" t="n">
        <v>0.551</v>
      </c>
      <c r="S81" s="0" t="n">
        <v>100.8982</v>
      </c>
      <c r="T81" s="0" t="n">
        <v>1.4535</v>
      </c>
      <c r="U81" s="0" t="n">
        <v>1.4065</v>
      </c>
      <c r="V81" s="0" t="n">
        <v>2.6931</v>
      </c>
      <c r="W81" s="0" t="n">
        <v>0.014</v>
      </c>
      <c r="X81" s="0" t="n">
        <v>1.4065</v>
      </c>
      <c r="Y81" s="0" t="n">
        <v>2.6931</v>
      </c>
      <c r="Z81" s="0" t="n">
        <v>0</v>
      </c>
      <c r="AA81" s="0" t="n">
        <v>0</v>
      </c>
      <c r="AB81" s="0" t="n">
        <v>1</v>
      </c>
      <c r="AC81" s="0" t="s">
        <v>91</v>
      </c>
      <c r="AD81" s="0" t="n">
        <v>10000</v>
      </c>
      <c r="AE81" s="0" t="n">
        <v>9966.28</v>
      </c>
      <c r="AF81" s="0" t="n">
        <v>9966.28</v>
      </c>
      <c r="AG81" s="0" t="n">
        <v>0.000311</v>
      </c>
      <c r="AH81" s="4" t="b">
        <f aca="false">FALSE()</f>
        <v>0</v>
      </c>
      <c r="AJ81" s="4" t="b">
        <f aca="false">FALSE()</f>
        <v>0</v>
      </c>
      <c r="AK81" s="4" t="b">
        <f aca="false">FALSE()</f>
        <v>0</v>
      </c>
      <c r="AL81" s="0" t="s">
        <v>67</v>
      </c>
      <c r="AM81" s="0" t="n">
        <v>0.7042</v>
      </c>
      <c r="AN81" s="0" t="n">
        <v>-0.6975</v>
      </c>
      <c r="AO81" s="0" t="n">
        <v>1.4152</v>
      </c>
      <c r="AP81" s="0" t="n">
        <v>-1.3883</v>
      </c>
      <c r="AQ81" s="0" t="n">
        <v>2.8572</v>
      </c>
      <c r="AR81" s="0" t="n">
        <v>-2.7498</v>
      </c>
    </row>
    <row r="82" customFormat="false" ht="15" hidden="false" customHeight="false" outlineLevel="0" collapsed="false">
      <c r="A82" s="0" t="s">
        <v>391</v>
      </c>
      <c r="B82" s="0" t="s">
        <v>392</v>
      </c>
      <c r="C82" s="0" t="s">
        <v>393</v>
      </c>
      <c r="D82" s="0" t="s">
        <v>59</v>
      </c>
      <c r="E82" s="0" t="s">
        <v>60</v>
      </c>
      <c r="F82" s="0" t="s">
        <v>61</v>
      </c>
      <c r="G82" s="0" t="n">
        <v>100</v>
      </c>
      <c r="H82" s="0" t="n">
        <v>0.0799</v>
      </c>
      <c r="I82" s="0" t="n">
        <v>2</v>
      </c>
      <c r="J82" s="0" t="s">
        <v>62</v>
      </c>
      <c r="K82" s="0" t="s">
        <v>313</v>
      </c>
      <c r="L82" s="0" t="s">
        <v>394</v>
      </c>
      <c r="M82" s="0" t="s">
        <v>65</v>
      </c>
      <c r="N82" s="0" t="n">
        <v>10.0534</v>
      </c>
      <c r="O82" s="0" t="n">
        <v>12</v>
      </c>
      <c r="P82" s="0" t="n">
        <v>0.0738</v>
      </c>
      <c r="Q82" s="0" t="n">
        <v>104.2612</v>
      </c>
      <c r="R82" s="0" t="n">
        <v>0.3612</v>
      </c>
      <c r="S82" s="0" t="n">
        <v>105.6452</v>
      </c>
      <c r="T82" s="0" t="n">
        <v>7.1375</v>
      </c>
      <c r="U82" s="0" t="n">
        <v>6.8835</v>
      </c>
      <c r="V82" s="0" t="n">
        <v>61.3486</v>
      </c>
      <c r="W82" s="0" t="n">
        <v>0.0718</v>
      </c>
      <c r="X82" s="0" t="n">
        <v>6.8835</v>
      </c>
      <c r="Y82" s="0" t="n">
        <v>61.3486</v>
      </c>
      <c r="Z82" s="0" t="n">
        <v>0</v>
      </c>
      <c r="AA82" s="0" t="n">
        <v>0</v>
      </c>
      <c r="AB82" s="0" t="n">
        <v>0</v>
      </c>
      <c r="AC82" s="0" t="s">
        <v>152</v>
      </c>
      <c r="AD82" s="0" t="n">
        <v>10000</v>
      </c>
      <c r="AE82" s="0" t="n">
        <v>10426.12</v>
      </c>
      <c r="AF82" s="0" t="n">
        <v>10426.12</v>
      </c>
      <c r="AG82" s="0" t="n">
        <v>0.000325</v>
      </c>
      <c r="AH82" s="4" t="b">
        <f aca="false">FALSE()</f>
        <v>0</v>
      </c>
      <c r="AJ82" s="4" t="b">
        <f aca="false">FALSE()</f>
        <v>0</v>
      </c>
      <c r="AK82" s="4" t="b">
        <f aca="false">FALSE()</f>
        <v>0</v>
      </c>
      <c r="AL82" s="0" t="s">
        <v>67</v>
      </c>
      <c r="AM82" s="0" t="n">
        <v>3.6684</v>
      </c>
      <c r="AN82" s="0" t="n">
        <v>-3.5085</v>
      </c>
      <c r="AO82" s="0" t="n">
        <v>7.4966</v>
      </c>
      <c r="AP82" s="0" t="n">
        <v>-6.857</v>
      </c>
      <c r="AQ82" s="0" t="n">
        <v>15.6329</v>
      </c>
      <c r="AR82" s="0" t="n">
        <v>-13.0744</v>
      </c>
    </row>
    <row r="83" customFormat="false" ht="15" hidden="false" customHeight="false" outlineLevel="0" collapsed="false">
      <c r="A83" s="0" t="s">
        <v>395</v>
      </c>
      <c r="B83" s="0" t="s">
        <v>396</v>
      </c>
      <c r="C83" s="0" t="s">
        <v>397</v>
      </c>
      <c r="D83" s="0" t="s">
        <v>59</v>
      </c>
      <c r="E83" s="0" t="s">
        <v>60</v>
      </c>
      <c r="F83" s="0" t="s">
        <v>61</v>
      </c>
      <c r="G83" s="0" t="n">
        <v>100</v>
      </c>
      <c r="H83" s="0" t="n">
        <v>0.0691</v>
      </c>
      <c r="I83" s="0" t="n">
        <v>2</v>
      </c>
      <c r="J83" s="0" t="s">
        <v>62</v>
      </c>
      <c r="K83" s="0" t="s">
        <v>398</v>
      </c>
      <c r="L83" s="0" t="s">
        <v>399</v>
      </c>
      <c r="M83" s="0" t="s">
        <v>65</v>
      </c>
      <c r="N83" s="0" t="n">
        <v>3.5181</v>
      </c>
      <c r="O83" s="0" t="n">
        <v>15</v>
      </c>
      <c r="P83" s="0" t="n">
        <v>0.079</v>
      </c>
      <c r="Q83" s="0" t="n">
        <v>97.0235</v>
      </c>
      <c r="R83" s="0" t="n">
        <v>0.6354</v>
      </c>
      <c r="S83" s="0" t="n">
        <v>98.6597</v>
      </c>
      <c r="T83" s="0" t="n">
        <v>3.1622</v>
      </c>
      <c r="U83" s="0" t="n">
        <v>3.042</v>
      </c>
      <c r="V83" s="0" t="n">
        <v>11.3024</v>
      </c>
      <c r="W83" s="0" t="n">
        <v>0.0295</v>
      </c>
      <c r="X83" s="0" t="n">
        <v>3.042</v>
      </c>
      <c r="Y83" s="0" t="n">
        <v>11.3024</v>
      </c>
      <c r="Z83" s="0" t="n">
        <v>0</v>
      </c>
      <c r="AA83" s="0" t="n">
        <v>0</v>
      </c>
      <c r="AB83" s="0" t="n">
        <v>9</v>
      </c>
      <c r="AC83" s="0" t="s">
        <v>230</v>
      </c>
      <c r="AD83" s="0" t="n">
        <v>10000</v>
      </c>
      <c r="AE83" s="0" t="n">
        <v>9702.35</v>
      </c>
      <c r="AF83" s="0" t="n">
        <v>9702.35</v>
      </c>
      <c r="AG83" s="0" t="n">
        <v>0.000303</v>
      </c>
      <c r="AH83" s="4" t="b">
        <f aca="false">FALSE()</f>
        <v>0</v>
      </c>
      <c r="AJ83" s="4" t="b">
        <f aca="false">FALSE()</f>
        <v>0</v>
      </c>
      <c r="AK83" s="4" t="b">
        <f aca="false">FALSE()</f>
        <v>0</v>
      </c>
      <c r="AL83" s="0" t="s">
        <v>67</v>
      </c>
      <c r="AM83" s="0" t="n">
        <v>1.4894</v>
      </c>
      <c r="AN83" s="0" t="n">
        <v>-1.462</v>
      </c>
      <c r="AO83" s="0" t="n">
        <v>3.0063</v>
      </c>
      <c r="AP83" s="0" t="n">
        <v>-2.8966</v>
      </c>
      <c r="AQ83" s="0" t="n">
        <v>6.1222</v>
      </c>
      <c r="AR83" s="0" t="n">
        <v>-5.6836</v>
      </c>
    </row>
    <row r="84" customFormat="false" ht="15" hidden="false" customHeight="false" outlineLevel="0" collapsed="false">
      <c r="A84" s="0" t="s">
        <v>400</v>
      </c>
      <c r="B84" s="0" t="s">
        <v>401</v>
      </c>
      <c r="C84" s="0" t="s">
        <v>397</v>
      </c>
      <c r="D84" s="0" t="s">
        <v>59</v>
      </c>
      <c r="E84" s="0" t="s">
        <v>60</v>
      </c>
      <c r="F84" s="0" t="s">
        <v>61</v>
      </c>
      <c r="G84" s="0" t="n">
        <v>100</v>
      </c>
      <c r="H84" s="0" t="n">
        <v>0.0659</v>
      </c>
      <c r="I84" s="0" t="n">
        <v>2</v>
      </c>
      <c r="J84" s="0" t="s">
        <v>62</v>
      </c>
      <c r="K84" s="0" t="s">
        <v>402</v>
      </c>
      <c r="L84" s="0" t="s">
        <v>403</v>
      </c>
      <c r="M84" s="0" t="s">
        <v>65</v>
      </c>
      <c r="N84" s="0" t="n">
        <v>1.6345</v>
      </c>
      <c r="O84" s="0" t="n">
        <v>10</v>
      </c>
      <c r="P84" s="0" t="n">
        <v>0.0755</v>
      </c>
      <c r="Q84" s="0" t="n">
        <v>98.6622</v>
      </c>
      <c r="R84" s="0" t="n">
        <v>1.172</v>
      </c>
      <c r="S84" s="0" t="n">
        <v>99.5122</v>
      </c>
      <c r="T84" s="0" t="n">
        <v>1.4523</v>
      </c>
      <c r="U84" s="0" t="n">
        <v>1.3995</v>
      </c>
      <c r="V84" s="0" t="n">
        <v>2.6678</v>
      </c>
      <c r="W84" s="0" t="n">
        <v>0.0138</v>
      </c>
      <c r="X84" s="0" t="n">
        <v>1.3995</v>
      </c>
      <c r="Y84" s="0" t="n">
        <v>2.6678</v>
      </c>
      <c r="Z84" s="0" t="n">
        <v>0</v>
      </c>
      <c r="AA84" s="0" t="n">
        <v>0</v>
      </c>
      <c r="AB84" s="0" t="n">
        <v>-2</v>
      </c>
      <c r="AC84" s="0" t="s">
        <v>91</v>
      </c>
      <c r="AD84" s="0" t="n">
        <v>5000</v>
      </c>
      <c r="AE84" s="0" t="n">
        <v>4933.11</v>
      </c>
      <c r="AF84" s="0" t="n">
        <v>4933.11</v>
      </c>
      <c r="AG84" s="0" t="n">
        <v>0.000154</v>
      </c>
      <c r="AH84" s="4" t="b">
        <f aca="false">FALSE()</f>
        <v>0</v>
      </c>
      <c r="AJ84" s="4" t="b">
        <f aca="false">FALSE()</f>
        <v>0</v>
      </c>
      <c r="AK84" s="4" t="b">
        <f aca="false">FALSE()</f>
        <v>0</v>
      </c>
      <c r="AL84" s="0" t="s">
        <v>67</v>
      </c>
      <c r="AM84" s="0" t="n">
        <v>0.6937</v>
      </c>
      <c r="AN84" s="0" t="n">
        <v>-0.6871</v>
      </c>
      <c r="AO84" s="0" t="n">
        <v>1.3939</v>
      </c>
      <c r="AP84" s="0" t="n">
        <v>-1.3676</v>
      </c>
      <c r="AQ84" s="0" t="n">
        <v>2.8142</v>
      </c>
      <c r="AR84" s="0" t="n">
        <v>-2.7089</v>
      </c>
    </row>
    <row r="85" customFormat="false" ht="15" hidden="false" customHeight="false" outlineLevel="0" collapsed="false">
      <c r="A85" s="0" t="s">
        <v>404</v>
      </c>
      <c r="B85" s="0" t="s">
        <v>405</v>
      </c>
      <c r="C85" s="0" t="s">
        <v>406</v>
      </c>
      <c r="D85" s="0" t="s">
        <v>59</v>
      </c>
      <c r="E85" s="0" t="s">
        <v>60</v>
      </c>
      <c r="F85" s="0" t="s">
        <v>61</v>
      </c>
      <c r="G85" s="0" t="n">
        <v>100</v>
      </c>
      <c r="H85" s="0" t="n">
        <v>0.08</v>
      </c>
      <c r="I85" s="0" t="n">
        <v>2</v>
      </c>
      <c r="J85" s="0" t="s">
        <v>62</v>
      </c>
      <c r="K85" s="0" t="s">
        <v>407</v>
      </c>
      <c r="L85" s="0" t="s">
        <v>408</v>
      </c>
      <c r="M85" s="0" t="s">
        <v>65</v>
      </c>
      <c r="N85" s="0" t="n">
        <v>1.6701</v>
      </c>
      <c r="O85" s="0" t="n">
        <v>3</v>
      </c>
      <c r="P85" s="0" t="n">
        <v>0.074</v>
      </c>
      <c r="Q85" s="0" t="n">
        <v>100.8373</v>
      </c>
      <c r="R85" s="0" t="n">
        <v>0.4716</v>
      </c>
      <c r="S85" s="0" t="n">
        <v>102.8264</v>
      </c>
      <c r="T85" s="0" t="n">
        <v>1.4433</v>
      </c>
      <c r="U85" s="0" t="n">
        <v>1.3918</v>
      </c>
      <c r="V85" s="0" t="n">
        <v>2.6494</v>
      </c>
      <c r="W85" s="0" t="n">
        <v>0.014</v>
      </c>
      <c r="X85" s="0" t="n">
        <v>1.3918</v>
      </c>
      <c r="Y85" s="0" t="n">
        <v>2.6494</v>
      </c>
      <c r="Z85" s="0" t="n">
        <v>0</v>
      </c>
      <c r="AA85" s="0" t="n">
        <v>0</v>
      </c>
      <c r="AB85" s="0" t="n">
        <v>6</v>
      </c>
      <c r="AC85" s="0" t="s">
        <v>91</v>
      </c>
      <c r="AD85" s="0" t="n">
        <v>20000</v>
      </c>
      <c r="AE85" s="0" t="n">
        <v>20167.46</v>
      </c>
      <c r="AF85" s="0" t="n">
        <v>20167.46</v>
      </c>
      <c r="AG85" s="0" t="n">
        <v>0.000629</v>
      </c>
      <c r="AH85" s="4" t="b">
        <f aca="false">FALSE()</f>
        <v>0</v>
      </c>
      <c r="AJ85" s="4" t="b">
        <f aca="false">FALSE()</f>
        <v>0</v>
      </c>
      <c r="AK85" s="4" t="b">
        <f aca="false">FALSE()</f>
        <v>0</v>
      </c>
      <c r="AL85" s="0" t="s">
        <v>67</v>
      </c>
      <c r="AM85" s="0" t="n">
        <v>0.7051</v>
      </c>
      <c r="AN85" s="0" t="n">
        <v>-0.6984</v>
      </c>
      <c r="AO85" s="0" t="n">
        <v>1.4168</v>
      </c>
      <c r="AP85" s="0" t="n">
        <v>-1.3901</v>
      </c>
      <c r="AQ85" s="0" t="n">
        <v>2.8603</v>
      </c>
      <c r="AR85" s="0" t="n">
        <v>-2.7535</v>
      </c>
    </row>
    <row r="86" customFormat="false" ht="15" hidden="false" customHeight="false" outlineLevel="0" collapsed="false">
      <c r="A86" s="0" t="s">
        <v>409</v>
      </c>
      <c r="B86" s="0" t="s">
        <v>410</v>
      </c>
      <c r="C86" s="0" t="s">
        <v>393</v>
      </c>
      <c r="D86" s="0" t="s">
        <v>59</v>
      </c>
      <c r="E86" s="0" t="s">
        <v>60</v>
      </c>
      <c r="F86" s="0" t="s">
        <v>61</v>
      </c>
      <c r="G86" s="0" t="n">
        <v>100</v>
      </c>
      <c r="H86" s="0" t="n">
        <v>0.0779</v>
      </c>
      <c r="I86" s="0" t="n">
        <v>2</v>
      </c>
      <c r="J86" s="0" t="s">
        <v>62</v>
      </c>
      <c r="K86" s="0" t="s">
        <v>411</v>
      </c>
      <c r="L86" s="0" t="s">
        <v>412</v>
      </c>
      <c r="M86" s="0" t="s">
        <v>65</v>
      </c>
      <c r="N86" s="0" t="n">
        <v>5.4593</v>
      </c>
      <c r="O86" s="0" t="n">
        <v>10</v>
      </c>
      <c r="P86" s="0" t="n">
        <v>0.0701</v>
      </c>
      <c r="Q86" s="0" t="n">
        <v>103.2427</v>
      </c>
      <c r="R86" s="0" t="n">
        <v>0.037</v>
      </c>
      <c r="S86" s="0" t="n">
        <v>103.6627</v>
      </c>
      <c r="T86" s="0" t="n">
        <v>4.2497</v>
      </c>
      <c r="U86" s="0" t="n">
        <v>4.1058</v>
      </c>
      <c r="V86" s="0" t="n">
        <v>20.5911</v>
      </c>
      <c r="W86" s="0" t="n">
        <v>0.0424</v>
      </c>
      <c r="X86" s="0" t="n">
        <v>4.1058</v>
      </c>
      <c r="Y86" s="0" t="n">
        <v>20.5911</v>
      </c>
      <c r="Z86" s="0" t="n">
        <v>0</v>
      </c>
      <c r="AA86" s="0" t="n">
        <v>0</v>
      </c>
      <c r="AB86" s="0" t="n">
        <v>-1</v>
      </c>
      <c r="AC86" s="0" t="s">
        <v>77</v>
      </c>
      <c r="AD86" s="0" t="n">
        <v>5000</v>
      </c>
      <c r="AE86" s="0" t="n">
        <v>5162.14</v>
      </c>
      <c r="AF86" s="0" t="n">
        <v>5162.14</v>
      </c>
      <c r="AG86" s="0" t="n">
        <v>0.000161</v>
      </c>
      <c r="AH86" s="4" t="b">
        <f aca="false">FALSE()</f>
        <v>0</v>
      </c>
      <c r="AJ86" s="4" t="b">
        <f aca="false">FALSE()</f>
        <v>0</v>
      </c>
      <c r="AK86" s="4" t="b">
        <f aca="false">FALSE()</f>
        <v>0</v>
      </c>
      <c r="AL86" s="0" t="s">
        <v>67</v>
      </c>
      <c r="AM86" s="0" t="n">
        <v>2.146</v>
      </c>
      <c r="AN86" s="0" t="n">
        <v>-2.0929</v>
      </c>
      <c r="AO86" s="0" t="n">
        <v>4.3452</v>
      </c>
      <c r="AP86" s="0" t="n">
        <v>-4.1326</v>
      </c>
      <c r="AQ86" s="0" t="n">
        <v>8.9031</v>
      </c>
      <c r="AR86" s="0" t="n">
        <v>-8.0527</v>
      </c>
    </row>
    <row r="87" customFormat="false" ht="15" hidden="false" customHeight="false" outlineLevel="0" collapsed="false">
      <c r="A87" s="0" t="s">
        <v>413</v>
      </c>
      <c r="B87" s="0" t="s">
        <v>414</v>
      </c>
      <c r="C87" s="0" t="s">
        <v>415</v>
      </c>
      <c r="D87" s="0" t="s">
        <v>59</v>
      </c>
      <c r="E87" s="0" t="s">
        <v>60</v>
      </c>
      <c r="F87" s="0" t="s">
        <v>61</v>
      </c>
      <c r="G87" s="0" t="n">
        <v>100</v>
      </c>
      <c r="H87" s="0" t="n">
        <v>0.0661</v>
      </c>
      <c r="I87" s="0" t="n">
        <v>2</v>
      </c>
      <c r="J87" s="0" t="s">
        <v>62</v>
      </c>
      <c r="K87" s="0" t="s">
        <v>416</v>
      </c>
      <c r="L87" s="0" t="s">
        <v>417</v>
      </c>
      <c r="M87" s="0" t="s">
        <v>65</v>
      </c>
      <c r="N87" s="0" t="n">
        <v>4.1287</v>
      </c>
      <c r="O87" s="0" t="n">
        <v>10</v>
      </c>
      <c r="P87" s="0" t="n">
        <v>0.0702</v>
      </c>
      <c r="Q87" s="0" t="n">
        <v>98.5914</v>
      </c>
      <c r="R87" s="0" t="n">
        <v>0.9503</v>
      </c>
      <c r="S87" s="0" t="n">
        <v>99.7788</v>
      </c>
      <c r="T87" s="0" t="n">
        <v>3.5761</v>
      </c>
      <c r="U87" s="0" t="n">
        <v>3.4548</v>
      </c>
      <c r="V87" s="0" t="n">
        <v>14.4461</v>
      </c>
      <c r="W87" s="0" t="n">
        <v>0.0341</v>
      </c>
      <c r="X87" s="0" t="n">
        <v>3.4548</v>
      </c>
      <c r="Y87" s="0" t="n">
        <v>14.4461</v>
      </c>
      <c r="Z87" s="0" t="n">
        <v>0</v>
      </c>
      <c r="AA87" s="0" t="n">
        <v>0</v>
      </c>
      <c r="AB87" s="0" t="n">
        <v>4</v>
      </c>
      <c r="AC87" s="0" t="s">
        <v>230</v>
      </c>
      <c r="AD87" s="0" t="n">
        <v>100000</v>
      </c>
      <c r="AE87" s="0" t="n">
        <v>98591.4</v>
      </c>
      <c r="AF87" s="0" t="n">
        <v>98591.4</v>
      </c>
      <c r="AG87" s="0" t="n">
        <v>0.003075</v>
      </c>
      <c r="AH87" s="4" t="b">
        <f aca="false">FALSE()</f>
        <v>0</v>
      </c>
      <c r="AJ87" s="4" t="b">
        <f aca="false">FALSE()</f>
        <v>0</v>
      </c>
      <c r="AK87" s="4" t="b">
        <f aca="false">FALSE()</f>
        <v>0</v>
      </c>
      <c r="AL87" s="0" t="s">
        <v>67</v>
      </c>
      <c r="AM87" s="0" t="n">
        <v>1.7209</v>
      </c>
      <c r="AN87" s="0" t="n">
        <v>-1.6853</v>
      </c>
      <c r="AO87" s="0" t="n">
        <v>3.4773</v>
      </c>
      <c r="AP87" s="0" t="n">
        <v>-3.3349</v>
      </c>
      <c r="AQ87" s="0" t="n">
        <v>7.0971</v>
      </c>
      <c r="AR87" s="0" t="n">
        <v>-6.5274</v>
      </c>
    </row>
    <row r="88" customFormat="false" ht="15" hidden="false" customHeight="false" outlineLevel="0" collapsed="false">
      <c r="A88" s="0" t="s">
        <v>418</v>
      </c>
      <c r="B88" s="0" t="s">
        <v>419</v>
      </c>
      <c r="C88" s="0" t="s">
        <v>415</v>
      </c>
      <c r="D88" s="0" t="s">
        <v>59</v>
      </c>
      <c r="E88" s="0" t="s">
        <v>60</v>
      </c>
      <c r="F88" s="0" t="s">
        <v>61</v>
      </c>
      <c r="G88" s="0" t="n">
        <v>100</v>
      </c>
      <c r="H88" s="0" t="n">
        <v>0.0662</v>
      </c>
      <c r="I88" s="0" t="n">
        <v>2</v>
      </c>
      <c r="J88" s="0" t="s">
        <v>62</v>
      </c>
      <c r="K88" s="0" t="s">
        <v>420</v>
      </c>
      <c r="L88" s="0" t="s">
        <v>421</v>
      </c>
      <c r="M88" s="0" t="s">
        <v>65</v>
      </c>
      <c r="N88" s="0" t="n">
        <v>5.0568</v>
      </c>
      <c r="O88" s="0" t="n">
        <v>11</v>
      </c>
      <c r="P88" s="0" t="n">
        <v>0.0779</v>
      </c>
      <c r="Q88" s="0" t="n">
        <v>95.2302</v>
      </c>
      <c r="R88" s="0" t="n">
        <v>0.9171</v>
      </c>
      <c r="S88" s="0" t="n">
        <v>95.8764</v>
      </c>
      <c r="T88" s="0" t="n">
        <v>4.3178</v>
      </c>
      <c r="U88" s="0" t="n">
        <v>4.1559</v>
      </c>
      <c r="V88" s="0" t="n">
        <v>20.8995</v>
      </c>
      <c r="W88" s="0" t="n">
        <v>0.0396</v>
      </c>
      <c r="X88" s="0" t="n">
        <v>4.1559</v>
      </c>
      <c r="Y88" s="0" t="n">
        <v>20.8995</v>
      </c>
      <c r="Z88" s="0" t="n">
        <v>0</v>
      </c>
      <c r="AA88" s="0" t="n">
        <v>0</v>
      </c>
      <c r="AB88" s="0" t="n">
        <v>10</v>
      </c>
      <c r="AC88" s="0" t="s">
        <v>77</v>
      </c>
      <c r="AD88" s="0" t="n">
        <v>100000</v>
      </c>
      <c r="AE88" s="0" t="n">
        <v>95230.2</v>
      </c>
      <c r="AF88" s="0" t="n">
        <v>95230.2</v>
      </c>
      <c r="AG88" s="0" t="n">
        <v>0.00297</v>
      </c>
      <c r="AH88" s="4" t="b">
        <f aca="false">FALSE()</f>
        <v>0</v>
      </c>
      <c r="AJ88" s="4" t="b">
        <f aca="false">FALSE()</f>
        <v>0</v>
      </c>
      <c r="AK88" s="4" t="b">
        <f aca="false">FALSE()</f>
        <v>0</v>
      </c>
      <c r="AL88" s="0" t="s">
        <v>67</v>
      </c>
      <c r="AM88" s="0" t="n">
        <v>2.0037</v>
      </c>
      <c r="AN88" s="0" t="n">
        <v>-1.954</v>
      </c>
      <c r="AO88" s="0" t="n">
        <v>4.0572</v>
      </c>
      <c r="AP88" s="0" t="n">
        <v>-3.8582</v>
      </c>
      <c r="AQ88" s="0" t="n">
        <v>8.3134</v>
      </c>
      <c r="AR88" s="0" t="n">
        <v>-7.5173</v>
      </c>
    </row>
    <row r="89" customFormat="false" ht="15" hidden="false" customHeight="false" outlineLevel="0" collapsed="false">
      <c r="A89" s="0" t="s">
        <v>422</v>
      </c>
      <c r="B89" s="0" t="s">
        <v>423</v>
      </c>
      <c r="C89" s="0" t="s">
        <v>424</v>
      </c>
      <c r="D89" s="0" t="s">
        <v>59</v>
      </c>
      <c r="E89" s="0" t="s">
        <v>60</v>
      </c>
      <c r="F89" s="0" t="s">
        <v>61</v>
      </c>
      <c r="G89" s="0" t="n">
        <v>100</v>
      </c>
      <c r="H89" s="0" t="n">
        <v>0.0775</v>
      </c>
      <c r="I89" s="0" t="n">
        <v>2</v>
      </c>
      <c r="J89" s="0" t="s">
        <v>62</v>
      </c>
      <c r="K89" s="0" t="s">
        <v>425</v>
      </c>
      <c r="L89" s="0" t="s">
        <v>426</v>
      </c>
      <c r="M89" s="0" t="s">
        <v>65</v>
      </c>
      <c r="N89" s="0" t="n">
        <v>6.5626</v>
      </c>
      <c r="O89" s="0" t="n">
        <v>8</v>
      </c>
      <c r="P89" s="0" t="n">
        <v>0.0735</v>
      </c>
      <c r="Q89" s="0" t="n">
        <v>102.038</v>
      </c>
      <c r="R89" s="0" t="n">
        <v>1.5762</v>
      </c>
      <c r="S89" s="0" t="n">
        <v>102.3772</v>
      </c>
      <c r="T89" s="0" t="n">
        <v>5.2417</v>
      </c>
      <c r="U89" s="0" t="n">
        <v>5.0559</v>
      </c>
      <c r="V89" s="0" t="n">
        <v>31.5799</v>
      </c>
      <c r="W89" s="0" t="n">
        <v>0.0516</v>
      </c>
      <c r="X89" s="0" t="n">
        <v>5.0559</v>
      </c>
      <c r="Y89" s="0" t="n">
        <v>31.5799</v>
      </c>
      <c r="Z89" s="0" t="n">
        <v>0</v>
      </c>
      <c r="AA89" s="0" t="n">
        <v>0</v>
      </c>
      <c r="AB89" s="0" t="n">
        <v>9</v>
      </c>
      <c r="AC89" s="0" t="s">
        <v>77</v>
      </c>
      <c r="AD89" s="0" t="n">
        <v>20000</v>
      </c>
      <c r="AE89" s="0" t="n">
        <v>20407.6</v>
      </c>
      <c r="AF89" s="0" t="n">
        <v>20407.6</v>
      </c>
      <c r="AG89" s="0" t="n">
        <v>0.000637</v>
      </c>
      <c r="AH89" s="4" t="b">
        <f aca="false">FALSE()</f>
        <v>0</v>
      </c>
      <c r="AJ89" s="4" t="b">
        <f aca="false">FALSE()</f>
        <v>0</v>
      </c>
      <c r="AK89" s="4" t="b">
        <f aca="false">FALSE()</f>
        <v>0</v>
      </c>
      <c r="AL89" s="0" t="s">
        <v>67</v>
      </c>
      <c r="AM89" s="0" t="n">
        <v>2.6197</v>
      </c>
      <c r="AN89" s="0" t="n">
        <v>-2.5392</v>
      </c>
      <c r="AO89" s="0" t="n">
        <v>5.3201</v>
      </c>
      <c r="AP89" s="0" t="n">
        <v>-4.9978</v>
      </c>
      <c r="AQ89" s="0" t="n">
        <v>10.9623</v>
      </c>
      <c r="AR89" s="0" t="n">
        <v>-9.6734</v>
      </c>
    </row>
    <row r="90" customFormat="false" ht="15" hidden="false" customHeight="false" outlineLevel="0" collapsed="false">
      <c r="A90" s="0" t="s">
        <v>427</v>
      </c>
      <c r="B90" s="0" t="s">
        <v>428</v>
      </c>
      <c r="C90" s="0" t="s">
        <v>397</v>
      </c>
      <c r="D90" s="0" t="s">
        <v>59</v>
      </c>
      <c r="E90" s="0" t="s">
        <v>60</v>
      </c>
      <c r="F90" s="0" t="s">
        <v>61</v>
      </c>
      <c r="G90" s="0" t="n">
        <v>100</v>
      </c>
      <c r="H90" s="0" t="n">
        <v>0.0704</v>
      </c>
      <c r="I90" s="0" t="n">
        <v>2</v>
      </c>
      <c r="J90" s="0" t="s">
        <v>62</v>
      </c>
      <c r="K90" s="0" t="s">
        <v>429</v>
      </c>
      <c r="L90" s="0" t="s">
        <v>430</v>
      </c>
      <c r="M90" s="0" t="s">
        <v>65</v>
      </c>
      <c r="N90" s="0" t="n">
        <v>3.4059</v>
      </c>
      <c r="O90" s="0" t="n">
        <v>7</v>
      </c>
      <c r="P90" s="0" t="n">
        <v>0.0799</v>
      </c>
      <c r="Q90" s="0" t="n">
        <v>97.5096</v>
      </c>
      <c r="R90" s="0" t="n">
        <v>0.8332</v>
      </c>
      <c r="S90" s="0" t="n">
        <v>97.5741</v>
      </c>
      <c r="T90" s="0" t="n">
        <v>2.7526</v>
      </c>
      <c r="U90" s="0" t="n">
        <v>2.6469</v>
      </c>
      <c r="V90" s="0" t="n">
        <v>8.6482</v>
      </c>
      <c r="W90" s="0" t="n">
        <v>0.0258</v>
      </c>
      <c r="X90" s="0" t="n">
        <v>2.6469</v>
      </c>
      <c r="Y90" s="0" t="n">
        <v>8.6482</v>
      </c>
      <c r="Z90" s="0" t="n">
        <v>0</v>
      </c>
      <c r="AA90" s="0" t="n">
        <v>0</v>
      </c>
      <c r="AB90" s="0" t="n">
        <v>1</v>
      </c>
      <c r="AC90" s="0" t="s">
        <v>230</v>
      </c>
      <c r="AD90" s="0" t="n">
        <v>100000</v>
      </c>
      <c r="AE90" s="0" t="n">
        <v>97509.6</v>
      </c>
      <c r="AF90" s="0" t="n">
        <v>97509.6</v>
      </c>
      <c r="AG90" s="0" t="n">
        <v>0.003042</v>
      </c>
      <c r="AH90" s="4" t="b">
        <f aca="false">FALSE()</f>
        <v>0</v>
      </c>
      <c r="AJ90" s="4" t="b">
        <f aca="false">FALSE()</f>
        <v>0</v>
      </c>
      <c r="AK90" s="4" t="b">
        <f aca="false">FALSE()</f>
        <v>0</v>
      </c>
      <c r="AL90" s="0" t="s">
        <v>67</v>
      </c>
      <c r="AM90" s="0" t="n">
        <v>1.301</v>
      </c>
      <c r="AN90" s="0" t="n">
        <v>-1.2799</v>
      </c>
      <c r="AO90" s="0" t="n">
        <v>2.6231</v>
      </c>
      <c r="AP90" s="0" t="n">
        <v>-2.5388</v>
      </c>
      <c r="AQ90" s="0" t="n">
        <v>5.3306</v>
      </c>
      <c r="AR90" s="0" t="n">
        <v>-4.9933</v>
      </c>
    </row>
    <row r="91" customFormat="false" ht="15" hidden="false" customHeight="false" outlineLevel="0" collapsed="false">
      <c r="A91" s="0" t="s">
        <v>431</v>
      </c>
      <c r="B91" s="0" t="s">
        <v>432</v>
      </c>
      <c r="C91" s="0" t="s">
        <v>406</v>
      </c>
      <c r="D91" s="0" t="s">
        <v>59</v>
      </c>
      <c r="E91" s="0" t="s">
        <v>60</v>
      </c>
      <c r="F91" s="0" t="s">
        <v>61</v>
      </c>
      <c r="G91" s="0" t="n">
        <v>100</v>
      </c>
      <c r="H91" s="0" t="n">
        <v>0.0708</v>
      </c>
      <c r="I91" s="0" t="n">
        <v>2</v>
      </c>
      <c r="J91" s="0" t="s">
        <v>62</v>
      </c>
      <c r="K91" s="0" t="s">
        <v>433</v>
      </c>
      <c r="L91" s="0" t="s">
        <v>434</v>
      </c>
      <c r="M91" s="0" t="s">
        <v>65</v>
      </c>
      <c r="N91" s="0" t="n">
        <v>2.5161</v>
      </c>
      <c r="O91" s="0" t="n">
        <v>5</v>
      </c>
      <c r="P91" s="0" t="n">
        <v>0.075</v>
      </c>
      <c r="Q91" s="0" t="n">
        <v>99.0585</v>
      </c>
      <c r="R91" s="0" t="n">
        <v>0.9191</v>
      </c>
      <c r="S91" s="0" t="n">
        <v>100.4765</v>
      </c>
      <c r="T91" s="0" t="n">
        <v>2.3339</v>
      </c>
      <c r="U91" s="0" t="n">
        <v>2.2495</v>
      </c>
      <c r="V91" s="0" t="n">
        <v>6.3532</v>
      </c>
      <c r="W91" s="0" t="n">
        <v>0.0223</v>
      </c>
      <c r="X91" s="0" t="n">
        <v>2.2495</v>
      </c>
      <c r="Y91" s="0" t="n">
        <v>6.3532</v>
      </c>
      <c r="Z91" s="0" t="n">
        <v>0</v>
      </c>
      <c r="AA91" s="0" t="n">
        <v>0</v>
      </c>
      <c r="AB91" s="0" t="n">
        <v>8</v>
      </c>
      <c r="AC91" s="0" t="s">
        <v>66</v>
      </c>
      <c r="AD91" s="0" t="n">
        <v>500000</v>
      </c>
      <c r="AE91" s="0" t="n">
        <v>495292.5</v>
      </c>
      <c r="AF91" s="0" t="n">
        <v>495292.5</v>
      </c>
      <c r="AG91" s="0" t="n">
        <v>0.015449</v>
      </c>
      <c r="AH91" s="4" t="b">
        <f aca="false">FALSE()</f>
        <v>0</v>
      </c>
      <c r="AJ91" s="4" t="b">
        <f aca="false">FALSE()</f>
        <v>0</v>
      </c>
      <c r="AK91" s="4" t="b">
        <f aca="false">FALSE()</f>
        <v>0</v>
      </c>
      <c r="AL91" s="0" t="s">
        <v>67</v>
      </c>
      <c r="AM91" s="0" t="n">
        <v>1.122</v>
      </c>
      <c r="AN91" s="0" t="n">
        <v>-1.1063</v>
      </c>
      <c r="AO91" s="0" t="n">
        <v>2.2598</v>
      </c>
      <c r="AP91" s="0" t="n">
        <v>-2.1969</v>
      </c>
      <c r="AQ91" s="0" t="n">
        <v>4.5825</v>
      </c>
      <c r="AR91" s="0" t="n">
        <v>-4.3308</v>
      </c>
    </row>
    <row r="92" customFormat="false" ht="15" hidden="false" customHeight="false" outlineLevel="0" collapsed="false">
      <c r="A92" s="0" t="s">
        <v>435</v>
      </c>
      <c r="B92" s="0" t="s">
        <v>436</v>
      </c>
      <c r="C92" s="0" t="s">
        <v>437</v>
      </c>
      <c r="D92" s="0" t="s">
        <v>59</v>
      </c>
      <c r="E92" s="0" t="s">
        <v>60</v>
      </c>
      <c r="F92" s="0" t="s">
        <v>61</v>
      </c>
      <c r="G92" s="0" t="n">
        <v>100</v>
      </c>
      <c r="H92" s="0" t="n">
        <v>0.0702</v>
      </c>
      <c r="I92" s="0" t="n">
        <v>2</v>
      </c>
      <c r="J92" s="0" t="s">
        <v>62</v>
      </c>
      <c r="K92" s="0" t="s">
        <v>438</v>
      </c>
      <c r="L92" s="0" t="s">
        <v>439</v>
      </c>
      <c r="M92" s="0" t="s">
        <v>65</v>
      </c>
      <c r="N92" s="0" t="n">
        <v>3.6057</v>
      </c>
      <c r="O92" s="0" t="n">
        <v>12</v>
      </c>
      <c r="P92" s="0" t="n">
        <v>0.0717</v>
      </c>
      <c r="Q92" s="0" t="n">
        <v>99.5429</v>
      </c>
      <c r="R92" s="0" t="n">
        <v>0.617</v>
      </c>
      <c r="S92" s="0" t="n">
        <v>99.6172</v>
      </c>
      <c r="T92" s="0" t="n">
        <v>3.1625</v>
      </c>
      <c r="U92" s="0" t="n">
        <v>3.053</v>
      </c>
      <c r="V92" s="0" t="n">
        <v>11.3822</v>
      </c>
      <c r="W92" s="0" t="n">
        <v>0.0304</v>
      </c>
      <c r="X92" s="0" t="n">
        <v>3.053</v>
      </c>
      <c r="Y92" s="0" t="n">
        <v>11.3822</v>
      </c>
      <c r="Z92" s="0" t="n">
        <v>0</v>
      </c>
      <c r="AA92" s="0" t="n">
        <v>0</v>
      </c>
      <c r="AB92" s="0" t="n">
        <v>6</v>
      </c>
      <c r="AC92" s="0" t="s">
        <v>230</v>
      </c>
      <c r="AD92" s="0" t="n">
        <v>50000</v>
      </c>
      <c r="AE92" s="0" t="n">
        <v>49771.45</v>
      </c>
      <c r="AF92" s="0" t="n">
        <v>49771.45</v>
      </c>
      <c r="AG92" s="0" t="n">
        <v>0.001552</v>
      </c>
      <c r="AH92" s="4" t="b">
        <f aca="false">FALSE()</f>
        <v>0</v>
      </c>
      <c r="AJ92" s="4" t="b">
        <f aca="false">FALSE()</f>
        <v>0</v>
      </c>
      <c r="AK92" s="4" t="b">
        <f aca="false">FALSE()</f>
        <v>0</v>
      </c>
      <c r="AL92" s="0" t="s">
        <v>67</v>
      </c>
      <c r="AM92" s="0" t="n">
        <v>1.5337</v>
      </c>
      <c r="AN92" s="0" t="n">
        <v>-1.5054</v>
      </c>
      <c r="AO92" s="0" t="n">
        <v>3.0957</v>
      </c>
      <c r="AP92" s="0" t="n">
        <v>-2.9824</v>
      </c>
      <c r="AQ92" s="0" t="n">
        <v>6.3047</v>
      </c>
      <c r="AR92" s="0" t="n">
        <v>-5.8515</v>
      </c>
    </row>
    <row r="93" customFormat="false" ht="15" hidden="false" customHeight="false" outlineLevel="0" collapsed="false">
      <c r="A93" s="0" t="s">
        <v>440</v>
      </c>
      <c r="B93" s="0" t="s">
        <v>441</v>
      </c>
      <c r="C93" s="0" t="s">
        <v>415</v>
      </c>
      <c r="D93" s="0" t="s">
        <v>59</v>
      </c>
      <c r="E93" s="0" t="s">
        <v>60</v>
      </c>
      <c r="F93" s="0" t="s">
        <v>61</v>
      </c>
      <c r="G93" s="0" t="n">
        <v>100</v>
      </c>
      <c r="H93" s="0" t="n">
        <v>0.0765</v>
      </c>
      <c r="I93" s="0" t="n">
        <v>2</v>
      </c>
      <c r="J93" s="0" t="s">
        <v>62</v>
      </c>
      <c r="K93" s="0" t="s">
        <v>442</v>
      </c>
      <c r="L93" s="0" t="s">
        <v>443</v>
      </c>
      <c r="M93" s="0" t="s">
        <v>65</v>
      </c>
      <c r="N93" s="0" t="n">
        <v>9.1828</v>
      </c>
      <c r="O93" s="0" t="n">
        <v>10</v>
      </c>
      <c r="P93" s="0" t="n">
        <v>0.0707</v>
      </c>
      <c r="Q93" s="0" t="n">
        <v>103.8139</v>
      </c>
      <c r="R93" s="0" t="n">
        <v>1.2339</v>
      </c>
      <c r="S93" s="0" t="n">
        <v>104.5065</v>
      </c>
      <c r="T93" s="0" t="n">
        <v>6.7155</v>
      </c>
      <c r="U93" s="0" t="n">
        <v>6.4862</v>
      </c>
      <c r="V93" s="0" t="n">
        <v>53.3654</v>
      </c>
      <c r="W93" s="0" t="n">
        <v>0.0673</v>
      </c>
      <c r="X93" s="0" t="n">
        <v>6.4862</v>
      </c>
      <c r="Y93" s="0" t="n">
        <v>53.3654</v>
      </c>
      <c r="Z93" s="0" t="n">
        <v>0</v>
      </c>
      <c r="AA93" s="0" t="n">
        <v>0</v>
      </c>
      <c r="AB93" s="0" t="n">
        <v>-4</v>
      </c>
      <c r="AC93" s="0" t="s">
        <v>210</v>
      </c>
      <c r="AD93" s="0" t="n">
        <v>500000</v>
      </c>
      <c r="AE93" s="0" t="n">
        <v>519069.5</v>
      </c>
      <c r="AF93" s="0" t="n">
        <v>519069.5</v>
      </c>
      <c r="AG93" s="0" t="n">
        <v>0.016191</v>
      </c>
      <c r="AH93" s="4" t="b">
        <f aca="false">FALSE()</f>
        <v>0</v>
      </c>
      <c r="AJ93" s="4" t="b">
        <f aca="false">FALSE()</f>
        <v>0</v>
      </c>
      <c r="AK93" s="4" t="b">
        <f aca="false">FALSE()</f>
        <v>0</v>
      </c>
      <c r="AL93" s="0" t="s">
        <v>67</v>
      </c>
      <c r="AM93" s="0" t="n">
        <v>3.436</v>
      </c>
      <c r="AN93" s="0" t="n">
        <v>-3.2975</v>
      </c>
      <c r="AO93" s="0" t="n">
        <v>7.0106</v>
      </c>
      <c r="AP93" s="0" t="n">
        <v>-6.4566</v>
      </c>
      <c r="AQ93" s="0" t="n">
        <v>14.5752</v>
      </c>
      <c r="AR93" s="0" t="n">
        <v>-12.3591</v>
      </c>
    </row>
    <row r="94" customFormat="false" ht="15" hidden="false" customHeight="false" outlineLevel="0" collapsed="false">
      <c r="A94" s="0" t="s">
        <v>444</v>
      </c>
      <c r="B94" s="0" t="s">
        <v>445</v>
      </c>
      <c r="C94" s="0" t="s">
        <v>446</v>
      </c>
      <c r="D94" s="0" t="s">
        <v>59</v>
      </c>
      <c r="E94" s="0" t="s">
        <v>60</v>
      </c>
      <c r="F94" s="0" t="s">
        <v>61</v>
      </c>
      <c r="G94" s="0" t="n">
        <v>100</v>
      </c>
      <c r="H94" s="0" t="n">
        <v>0.0703</v>
      </c>
      <c r="I94" s="0" t="n">
        <v>2</v>
      </c>
      <c r="J94" s="0" t="s">
        <v>62</v>
      </c>
      <c r="K94" s="0" t="s">
        <v>447</v>
      </c>
      <c r="L94" s="0" t="s">
        <v>448</v>
      </c>
      <c r="M94" s="0" t="s">
        <v>65</v>
      </c>
      <c r="N94" s="0" t="n">
        <v>4.9993</v>
      </c>
      <c r="O94" s="0" t="n">
        <v>7</v>
      </c>
      <c r="P94" s="0" t="n">
        <v>0.0711</v>
      </c>
      <c r="Q94" s="0" t="n">
        <v>99.6965</v>
      </c>
      <c r="R94" s="0" t="n">
        <v>0.327</v>
      </c>
      <c r="S94" s="0" t="n">
        <v>100.6064</v>
      </c>
      <c r="T94" s="0" t="n">
        <v>3.9338</v>
      </c>
      <c r="U94" s="0" t="n">
        <v>3.7988</v>
      </c>
      <c r="V94" s="0" t="n">
        <v>17.4969</v>
      </c>
      <c r="W94" s="0" t="n">
        <v>0.0379</v>
      </c>
      <c r="X94" s="0" t="n">
        <v>3.7988</v>
      </c>
      <c r="Y94" s="0" t="n">
        <v>17.4969</v>
      </c>
      <c r="Z94" s="0" t="n">
        <v>0</v>
      </c>
      <c r="AA94" s="0" t="n">
        <v>0</v>
      </c>
      <c r="AB94" s="0" t="n">
        <v>-2</v>
      </c>
      <c r="AC94" s="0" t="s">
        <v>230</v>
      </c>
      <c r="AD94" s="0" t="n">
        <v>200000</v>
      </c>
      <c r="AE94" s="0" t="n">
        <v>199393</v>
      </c>
      <c r="AF94" s="0" t="n">
        <v>199393</v>
      </c>
      <c r="AG94" s="0" t="n">
        <v>0.006219</v>
      </c>
      <c r="AH94" s="4" t="b">
        <f aca="false">FALSE()</f>
        <v>0</v>
      </c>
      <c r="AJ94" s="4" t="b">
        <f aca="false">FALSE()</f>
        <v>0</v>
      </c>
      <c r="AK94" s="4" t="b">
        <f aca="false">FALSE()</f>
        <v>0</v>
      </c>
      <c r="AL94" s="0" t="s">
        <v>67</v>
      </c>
      <c r="AM94" s="0" t="n">
        <v>1.9154</v>
      </c>
      <c r="AN94" s="0" t="n">
        <v>-1.8718</v>
      </c>
      <c r="AO94" s="0" t="n">
        <v>3.8745</v>
      </c>
      <c r="AP94" s="0" t="n">
        <v>-3.7001</v>
      </c>
      <c r="AQ94" s="0" t="n">
        <v>7.9234</v>
      </c>
      <c r="AR94" s="0" t="n">
        <v>-7.2257</v>
      </c>
    </row>
    <row r="95" customFormat="false" ht="15" hidden="false" customHeight="false" outlineLevel="0" collapsed="false">
      <c r="A95" s="0" t="s">
        <v>449</v>
      </c>
      <c r="B95" s="0" t="s">
        <v>450</v>
      </c>
      <c r="C95" s="0" t="s">
        <v>406</v>
      </c>
      <c r="D95" s="0" t="s">
        <v>59</v>
      </c>
      <c r="E95" s="0" t="s">
        <v>60</v>
      </c>
      <c r="F95" s="0" t="s">
        <v>61</v>
      </c>
      <c r="G95" s="0" t="n">
        <v>100</v>
      </c>
      <c r="H95" s="0" t="n">
        <v>0.0727</v>
      </c>
      <c r="I95" s="0" t="n">
        <v>2</v>
      </c>
      <c r="J95" s="0" t="s">
        <v>62</v>
      </c>
      <c r="K95" s="0" t="s">
        <v>451</v>
      </c>
      <c r="L95" s="0" t="s">
        <v>452</v>
      </c>
      <c r="M95" s="0" t="s">
        <v>65</v>
      </c>
      <c r="N95" s="0" t="n">
        <v>7.7098</v>
      </c>
      <c r="O95" s="0" t="n">
        <v>14</v>
      </c>
      <c r="P95" s="0" t="n">
        <v>0.0709</v>
      </c>
      <c r="Q95" s="0" t="n">
        <v>101.0333</v>
      </c>
      <c r="R95" s="0" t="n">
        <v>1.7585</v>
      </c>
      <c r="S95" s="0" t="n">
        <v>102.8264</v>
      </c>
      <c r="T95" s="0" t="n">
        <v>5.9206</v>
      </c>
      <c r="U95" s="0" t="n">
        <v>5.7179</v>
      </c>
      <c r="V95" s="0" t="n">
        <v>40.5352</v>
      </c>
      <c r="W95" s="0" t="n">
        <v>0.0578</v>
      </c>
      <c r="X95" s="0" t="n">
        <v>5.7179</v>
      </c>
      <c r="Y95" s="0" t="n">
        <v>40.5352</v>
      </c>
      <c r="Z95" s="0" t="n">
        <v>0</v>
      </c>
      <c r="AA95" s="0" t="n">
        <v>0</v>
      </c>
      <c r="AB95" s="0" t="n">
        <v>6</v>
      </c>
      <c r="AC95" s="0" t="s">
        <v>210</v>
      </c>
      <c r="AD95" s="0" t="n">
        <v>200000</v>
      </c>
      <c r="AE95" s="0" t="n">
        <v>202066.6</v>
      </c>
      <c r="AF95" s="0" t="n">
        <v>202066.6</v>
      </c>
      <c r="AG95" s="0" t="n">
        <v>0.006303</v>
      </c>
      <c r="AH95" s="4" t="b">
        <f aca="false">FALSE()</f>
        <v>0</v>
      </c>
      <c r="AJ95" s="4" t="b">
        <f aca="false">FALSE()</f>
        <v>0</v>
      </c>
      <c r="AK95" s="4" t="b">
        <f aca="false">FALSE()</f>
        <v>0</v>
      </c>
      <c r="AL95" s="0" t="s">
        <v>67</v>
      </c>
      <c r="AM95" s="0" t="n">
        <v>2.9397</v>
      </c>
      <c r="AN95" s="0" t="n">
        <v>-2.8373</v>
      </c>
      <c r="AO95" s="0" t="n">
        <v>5.9818</v>
      </c>
      <c r="AP95" s="0" t="n">
        <v>-5.5722</v>
      </c>
      <c r="AQ95" s="0" t="n">
        <v>12.373</v>
      </c>
      <c r="AR95" s="0" t="n">
        <v>-10.7349</v>
      </c>
    </row>
    <row r="96" customFormat="false" ht="15" hidden="false" customHeight="false" outlineLevel="0" collapsed="false">
      <c r="A96" s="0" t="s">
        <v>453</v>
      </c>
      <c r="B96" s="0" t="s">
        <v>454</v>
      </c>
      <c r="C96" s="0" t="s">
        <v>437</v>
      </c>
      <c r="D96" s="0" t="s">
        <v>59</v>
      </c>
      <c r="E96" s="0" t="s">
        <v>60</v>
      </c>
      <c r="F96" s="0" t="s">
        <v>61</v>
      </c>
      <c r="G96" s="0" t="n">
        <v>100</v>
      </c>
      <c r="H96" s="0" t="n">
        <v>0.0817</v>
      </c>
      <c r="I96" s="0" t="n">
        <v>2</v>
      </c>
      <c r="J96" s="0" t="s">
        <v>62</v>
      </c>
      <c r="K96" s="0" t="s">
        <v>455</v>
      </c>
      <c r="L96" s="0" t="s">
        <v>456</v>
      </c>
      <c r="M96" s="0" t="s">
        <v>65</v>
      </c>
      <c r="N96" s="0" t="n">
        <v>12.5476</v>
      </c>
      <c r="O96" s="0" t="n">
        <v>15</v>
      </c>
      <c r="P96" s="0" t="n">
        <v>0.0779</v>
      </c>
      <c r="Q96" s="0" t="n">
        <v>103.0014</v>
      </c>
      <c r="R96" s="0" t="n">
        <v>0.7371</v>
      </c>
      <c r="S96" s="0" t="n">
        <v>104.1703</v>
      </c>
      <c r="T96" s="0" t="n">
        <v>8.1279</v>
      </c>
      <c r="U96" s="0" t="n">
        <v>7.8232</v>
      </c>
      <c r="V96" s="0" t="n">
        <v>82.7369</v>
      </c>
      <c r="W96" s="0" t="n">
        <v>0.0806</v>
      </c>
      <c r="X96" s="0" t="n">
        <v>7.8232</v>
      </c>
      <c r="Y96" s="0" t="n">
        <v>82.7369</v>
      </c>
      <c r="Z96" s="0" t="n">
        <v>0</v>
      </c>
      <c r="AA96" s="0" t="n">
        <v>0</v>
      </c>
      <c r="AB96" s="0" t="n">
        <v>9</v>
      </c>
      <c r="AC96" s="0" t="s">
        <v>152</v>
      </c>
      <c r="AD96" s="0" t="n">
        <v>5000</v>
      </c>
      <c r="AE96" s="0" t="n">
        <v>5150.07</v>
      </c>
      <c r="AF96" s="0" t="n">
        <v>5150.07</v>
      </c>
      <c r="AG96" s="0" t="n">
        <v>0.000161</v>
      </c>
      <c r="AH96" s="4" t="b">
        <f aca="false">FALSE()</f>
        <v>0</v>
      </c>
      <c r="AJ96" s="4" t="b">
        <f aca="false">FALSE()</f>
        <v>0</v>
      </c>
      <c r="AK96" s="4" t="b">
        <f aca="false">FALSE()</f>
        <v>0</v>
      </c>
      <c r="AL96" s="0" t="s">
        <v>67</v>
      </c>
      <c r="AM96" s="0" t="n">
        <v>4.1355</v>
      </c>
      <c r="AN96" s="0" t="n">
        <v>-3.9225</v>
      </c>
      <c r="AO96" s="0" t="n">
        <v>8.4841</v>
      </c>
      <c r="AP96" s="0" t="n">
        <v>-7.6319</v>
      </c>
      <c r="AQ96" s="0" t="n">
        <v>17.8204</v>
      </c>
      <c r="AR96" s="0" t="n">
        <v>-14.4116</v>
      </c>
    </row>
    <row r="97" customFormat="false" ht="15" hidden="false" customHeight="false" outlineLevel="0" collapsed="false">
      <c r="A97" s="0" t="s">
        <v>457</v>
      </c>
      <c r="B97" s="0" t="s">
        <v>458</v>
      </c>
      <c r="C97" s="0" t="s">
        <v>446</v>
      </c>
      <c r="D97" s="0" t="s">
        <v>59</v>
      </c>
      <c r="E97" s="0" t="s">
        <v>60</v>
      </c>
      <c r="F97" s="0" t="s">
        <v>61</v>
      </c>
      <c r="G97" s="0" t="n">
        <v>100</v>
      </c>
      <c r="H97" s="0" t="n">
        <v>0.0663</v>
      </c>
      <c r="I97" s="0" t="n">
        <v>2</v>
      </c>
      <c r="J97" s="0" t="s">
        <v>62</v>
      </c>
      <c r="K97" s="0" t="s">
        <v>459</v>
      </c>
      <c r="L97" s="0" t="s">
        <v>460</v>
      </c>
      <c r="M97" s="0" t="s">
        <v>65</v>
      </c>
      <c r="N97" s="0" t="n">
        <v>3.0034</v>
      </c>
      <c r="O97" s="0" t="n">
        <v>8</v>
      </c>
      <c r="P97" s="0" t="n">
        <v>0.0745</v>
      </c>
      <c r="Q97" s="0" t="n">
        <v>97.8313</v>
      </c>
      <c r="R97" s="0" t="n">
        <v>0.8575</v>
      </c>
      <c r="S97" s="0" t="n">
        <v>98.044</v>
      </c>
      <c r="T97" s="0" t="n">
        <v>2.7664</v>
      </c>
      <c r="U97" s="0" t="n">
        <v>2.6671</v>
      </c>
      <c r="V97" s="0" t="n">
        <v>8.7523</v>
      </c>
      <c r="W97" s="0" t="n">
        <v>0.0261</v>
      </c>
      <c r="X97" s="0" t="n">
        <v>2.6671</v>
      </c>
      <c r="Y97" s="0" t="n">
        <v>8.7523</v>
      </c>
      <c r="Z97" s="0" t="n">
        <v>0</v>
      </c>
      <c r="AA97" s="0" t="n">
        <v>0</v>
      </c>
      <c r="AB97" s="0" t="n">
        <v>0</v>
      </c>
      <c r="AC97" s="0" t="s">
        <v>230</v>
      </c>
      <c r="AD97" s="0" t="n">
        <v>200000</v>
      </c>
      <c r="AE97" s="0" t="n">
        <v>195662.6</v>
      </c>
      <c r="AF97" s="0" t="n">
        <v>195662.6</v>
      </c>
      <c r="AG97" s="0" t="n">
        <v>0.006103</v>
      </c>
      <c r="AH97" s="4" t="b">
        <f aca="false">FALSE()</f>
        <v>0</v>
      </c>
      <c r="AJ97" s="4" t="b">
        <f aca="false">FALSE()</f>
        <v>0</v>
      </c>
      <c r="AK97" s="4" t="b">
        <f aca="false">FALSE()</f>
        <v>0</v>
      </c>
      <c r="AL97" s="0" t="s">
        <v>67</v>
      </c>
      <c r="AM97" s="0" t="n">
        <v>1.3153</v>
      </c>
      <c r="AN97" s="0" t="n">
        <v>-1.2939</v>
      </c>
      <c r="AO97" s="0" t="n">
        <v>2.6521</v>
      </c>
      <c r="AP97" s="0" t="n">
        <v>-2.5664</v>
      </c>
      <c r="AQ97" s="0" t="n">
        <v>5.3898</v>
      </c>
      <c r="AR97" s="0" t="n">
        <v>-5.0473</v>
      </c>
    </row>
    <row r="98" customFormat="false" ht="15" hidden="false" customHeight="false" outlineLevel="0" collapsed="false">
      <c r="A98" s="0" t="s">
        <v>461</v>
      </c>
      <c r="B98" s="0" t="s">
        <v>462</v>
      </c>
      <c r="C98" s="0" t="s">
        <v>446</v>
      </c>
      <c r="D98" s="0" t="s">
        <v>59</v>
      </c>
      <c r="E98" s="0" t="s">
        <v>60</v>
      </c>
      <c r="F98" s="0" t="s">
        <v>61</v>
      </c>
      <c r="G98" s="0" t="n">
        <v>100</v>
      </c>
      <c r="H98" s="0" t="n">
        <v>0.0809</v>
      </c>
      <c r="I98" s="0" t="n">
        <v>2</v>
      </c>
      <c r="J98" s="0" t="s">
        <v>62</v>
      </c>
      <c r="K98" s="0" t="s">
        <v>463</v>
      </c>
      <c r="L98" s="0" t="s">
        <v>464</v>
      </c>
      <c r="M98" s="0" t="s">
        <v>65</v>
      </c>
      <c r="N98" s="0" t="n">
        <v>3.77</v>
      </c>
      <c r="O98" s="0" t="n">
        <v>6</v>
      </c>
      <c r="P98" s="0" t="n">
        <v>0.0794</v>
      </c>
      <c r="Q98" s="0" t="n">
        <v>100.4507</v>
      </c>
      <c r="R98" s="0" t="n">
        <v>1.7109</v>
      </c>
      <c r="S98" s="0" t="n">
        <v>100.9575</v>
      </c>
      <c r="T98" s="0" t="n">
        <v>3.1182</v>
      </c>
      <c r="U98" s="0" t="n">
        <v>2.9991</v>
      </c>
      <c r="V98" s="0" t="n">
        <v>11.0827</v>
      </c>
      <c r="W98" s="0" t="n">
        <v>0.0301</v>
      </c>
      <c r="X98" s="0" t="n">
        <v>2.9991</v>
      </c>
      <c r="Y98" s="0" t="n">
        <v>11.0827</v>
      </c>
      <c r="Z98" s="0" t="n">
        <v>0</v>
      </c>
      <c r="AA98" s="0" t="n">
        <v>0</v>
      </c>
      <c r="AB98" s="0" t="n">
        <v>3</v>
      </c>
      <c r="AC98" s="0" t="s">
        <v>230</v>
      </c>
      <c r="AD98" s="0" t="n">
        <v>20000</v>
      </c>
      <c r="AE98" s="0" t="n">
        <v>20090.14</v>
      </c>
      <c r="AF98" s="0" t="n">
        <v>20090.14</v>
      </c>
      <c r="AG98" s="0" t="n">
        <v>0.000627</v>
      </c>
      <c r="AH98" s="4" t="b">
        <f aca="false">FALSE()</f>
        <v>0</v>
      </c>
      <c r="AJ98" s="4" t="b">
        <f aca="false">FALSE()</f>
        <v>0</v>
      </c>
      <c r="AK98" s="4" t="b">
        <f aca="false">FALSE()</f>
        <v>0</v>
      </c>
      <c r="AL98" s="0" t="s">
        <v>67</v>
      </c>
      <c r="AM98" s="0" t="n">
        <v>1.5202</v>
      </c>
      <c r="AN98" s="0" t="n">
        <v>-1.4924</v>
      </c>
      <c r="AO98" s="0" t="n">
        <v>3.0683</v>
      </c>
      <c r="AP98" s="0" t="n">
        <v>-2.957</v>
      </c>
      <c r="AQ98" s="0" t="n">
        <v>6.2479</v>
      </c>
      <c r="AR98" s="0" t="n">
        <v>-5.8026</v>
      </c>
    </row>
    <row r="99" customFormat="false" ht="15" hidden="false" customHeight="false" outlineLevel="0" collapsed="false">
      <c r="A99" s="0" t="s">
        <v>465</v>
      </c>
      <c r="B99" s="0" t="s">
        <v>466</v>
      </c>
      <c r="C99" s="0" t="s">
        <v>446</v>
      </c>
      <c r="D99" s="0" t="s">
        <v>59</v>
      </c>
      <c r="E99" s="0" t="s">
        <v>60</v>
      </c>
      <c r="F99" s="0" t="s">
        <v>61</v>
      </c>
      <c r="G99" s="0" t="n">
        <v>100</v>
      </c>
      <c r="H99" s="0" t="n">
        <v>0.0762</v>
      </c>
      <c r="I99" s="0" t="n">
        <v>2</v>
      </c>
      <c r="J99" s="0" t="s">
        <v>62</v>
      </c>
      <c r="K99" s="0" t="s">
        <v>467</v>
      </c>
      <c r="L99" s="0" t="s">
        <v>390</v>
      </c>
      <c r="M99" s="0" t="s">
        <v>65</v>
      </c>
      <c r="N99" s="0" t="n">
        <v>1.7741</v>
      </c>
      <c r="O99" s="0" t="n">
        <v>14</v>
      </c>
      <c r="P99" s="0" t="n">
        <v>0.0734</v>
      </c>
      <c r="Q99" s="0" t="n">
        <v>100.391</v>
      </c>
      <c r="R99" s="0" t="n">
        <v>0.0785</v>
      </c>
      <c r="S99" s="0" t="n">
        <v>102.0365</v>
      </c>
      <c r="T99" s="0" t="n">
        <v>1.4457</v>
      </c>
      <c r="U99" s="0" t="n">
        <v>1.3945</v>
      </c>
      <c r="V99" s="0" t="n">
        <v>2.6569</v>
      </c>
      <c r="W99" s="0" t="n">
        <v>0.014</v>
      </c>
      <c r="X99" s="0" t="n">
        <v>1.3945</v>
      </c>
      <c r="Y99" s="0" t="n">
        <v>2.6569</v>
      </c>
      <c r="Z99" s="0" t="n">
        <v>0</v>
      </c>
      <c r="AA99" s="0" t="n">
        <v>0</v>
      </c>
      <c r="AB99" s="0" t="n">
        <v>-3</v>
      </c>
      <c r="AC99" s="0" t="s">
        <v>91</v>
      </c>
      <c r="AD99" s="0" t="n">
        <v>100000</v>
      </c>
      <c r="AE99" s="0" t="n">
        <v>100391</v>
      </c>
      <c r="AF99" s="0" t="n">
        <v>100391</v>
      </c>
      <c r="AG99" s="0" t="n">
        <v>0.003131</v>
      </c>
      <c r="AH99" s="4" t="b">
        <f aca="false">FALSE()</f>
        <v>0</v>
      </c>
      <c r="AJ99" s="4" t="b">
        <f aca="false">FALSE()</f>
        <v>0</v>
      </c>
      <c r="AK99" s="4" t="b">
        <f aca="false">FALSE()</f>
        <v>0</v>
      </c>
      <c r="AL99" s="0" t="s">
        <v>67</v>
      </c>
      <c r="AM99" s="0" t="n">
        <v>0.7033</v>
      </c>
      <c r="AN99" s="0" t="n">
        <v>-0.6966</v>
      </c>
      <c r="AO99" s="0" t="n">
        <v>1.4133</v>
      </c>
      <c r="AP99" s="0" t="n">
        <v>-1.3866</v>
      </c>
      <c r="AQ99" s="0" t="n">
        <v>2.8533</v>
      </c>
      <c r="AR99" s="0" t="n">
        <v>-2.7466</v>
      </c>
    </row>
    <row r="100" customFormat="false" ht="15" hidden="false" customHeight="false" outlineLevel="0" collapsed="false">
      <c r="A100" s="0" t="s">
        <v>468</v>
      </c>
      <c r="B100" s="0" t="s">
        <v>469</v>
      </c>
      <c r="C100" s="0" t="s">
        <v>424</v>
      </c>
      <c r="D100" s="0" t="s">
        <v>59</v>
      </c>
      <c r="E100" s="0" t="s">
        <v>60</v>
      </c>
      <c r="F100" s="0" t="s">
        <v>61</v>
      </c>
      <c r="G100" s="0" t="n">
        <v>100</v>
      </c>
      <c r="H100" s="0" t="n">
        <v>0.0759</v>
      </c>
      <c r="I100" s="0" t="n">
        <v>2</v>
      </c>
      <c r="J100" s="0" t="s">
        <v>62</v>
      </c>
      <c r="K100" s="0" t="s">
        <v>470</v>
      </c>
      <c r="L100" s="0" t="s">
        <v>471</v>
      </c>
      <c r="M100" s="0" t="s">
        <v>65</v>
      </c>
      <c r="N100" s="0" t="n">
        <v>3.6003</v>
      </c>
      <c r="O100" s="0" t="n">
        <v>7</v>
      </c>
      <c r="P100" s="0" t="n">
        <v>0.078</v>
      </c>
      <c r="Q100" s="0" t="n">
        <v>99.3674</v>
      </c>
      <c r="R100" s="0" t="n">
        <v>0.7706</v>
      </c>
      <c r="S100" s="0" t="n">
        <v>100.228</v>
      </c>
      <c r="T100" s="0" t="n">
        <v>3.1373</v>
      </c>
      <c r="U100" s="0" t="n">
        <v>3.0195</v>
      </c>
      <c r="V100" s="0" t="n">
        <v>11.1909</v>
      </c>
      <c r="W100" s="0" t="n">
        <v>0.03</v>
      </c>
      <c r="X100" s="0" t="n">
        <v>3.0195</v>
      </c>
      <c r="Y100" s="0" t="n">
        <v>11.1909</v>
      </c>
      <c r="Z100" s="0" t="n">
        <v>0</v>
      </c>
      <c r="AA100" s="0" t="n">
        <v>0</v>
      </c>
      <c r="AB100" s="0" t="n">
        <v>-4</v>
      </c>
      <c r="AC100" s="0" t="s">
        <v>230</v>
      </c>
      <c r="AD100" s="0" t="n">
        <v>200000</v>
      </c>
      <c r="AE100" s="0" t="n">
        <v>198734.8</v>
      </c>
      <c r="AF100" s="0" t="n">
        <v>198734.8</v>
      </c>
      <c r="AG100" s="0" t="n">
        <v>0.006199</v>
      </c>
      <c r="AH100" s="4" t="b">
        <f aca="false">FALSE()</f>
        <v>0</v>
      </c>
      <c r="AJ100" s="4" t="b">
        <f aca="false">FALSE()</f>
        <v>0</v>
      </c>
      <c r="AK100" s="4" t="b">
        <f aca="false">FALSE()</f>
        <v>0</v>
      </c>
      <c r="AL100" s="0" t="s">
        <v>67</v>
      </c>
      <c r="AM100" s="0" t="n">
        <v>1.5141</v>
      </c>
      <c r="AN100" s="0" t="n">
        <v>-1.4863</v>
      </c>
      <c r="AO100" s="0" t="n">
        <v>3.056</v>
      </c>
      <c r="AP100" s="0" t="n">
        <v>-2.9448</v>
      </c>
      <c r="AQ100" s="0" t="n">
        <v>6.2232</v>
      </c>
      <c r="AR100" s="0" t="n">
        <v>-5.7784</v>
      </c>
    </row>
    <row r="101" customFormat="false" ht="15" hidden="false" customHeight="false" outlineLevel="0" collapsed="false">
      <c r="A101" s="0" t="s">
        <v>472</v>
      </c>
      <c r="B101" s="0" t="s">
        <v>473</v>
      </c>
      <c r="C101" s="0" t="s">
        <v>446</v>
      </c>
      <c r="D101" s="0" t="s">
        <v>59</v>
      </c>
      <c r="E101" s="0" t="s">
        <v>60</v>
      </c>
      <c r="F101" s="0" t="s">
        <v>61</v>
      </c>
      <c r="G101" s="0" t="n">
        <v>100</v>
      </c>
      <c r="H101" s="0" t="n">
        <v>0.0775</v>
      </c>
      <c r="I101" s="0" t="n">
        <v>2</v>
      </c>
      <c r="J101" s="0" t="s">
        <v>62</v>
      </c>
      <c r="K101" s="0" t="s">
        <v>474</v>
      </c>
      <c r="L101" s="0" t="s">
        <v>475</v>
      </c>
      <c r="M101" s="0" t="s">
        <v>65</v>
      </c>
      <c r="N101" s="0" t="n">
        <v>0.6735</v>
      </c>
      <c r="O101" s="0" t="n">
        <v>8</v>
      </c>
      <c r="P101" s="0" t="n">
        <v>0.0713</v>
      </c>
      <c r="Q101" s="0" t="n">
        <v>100.2993</v>
      </c>
      <c r="R101" s="0" t="n">
        <v>0.9978</v>
      </c>
      <c r="S101" s="0" t="n">
        <v>100.505</v>
      </c>
      <c r="T101" s="0" t="n">
        <v>0.5</v>
      </c>
      <c r="U101" s="0" t="n">
        <v>0.4828</v>
      </c>
      <c r="V101" s="0" t="n">
        <v>0.4662</v>
      </c>
      <c r="W101" s="0" t="n">
        <v>0.0048</v>
      </c>
      <c r="X101" s="0" t="n">
        <v>0.4828</v>
      </c>
      <c r="Y101" s="0" t="n">
        <v>0.4662</v>
      </c>
      <c r="Z101" s="0" t="n">
        <v>0</v>
      </c>
      <c r="AA101" s="0" t="n">
        <v>0</v>
      </c>
      <c r="AB101" s="0" t="n">
        <v>2</v>
      </c>
      <c r="AC101" s="0" t="s">
        <v>173</v>
      </c>
      <c r="AD101" s="0" t="n">
        <v>20000</v>
      </c>
      <c r="AE101" s="0" t="n">
        <v>20059.86</v>
      </c>
      <c r="AF101" s="0" t="n">
        <v>20059.86</v>
      </c>
      <c r="AG101" s="0" t="n">
        <v>0.000626</v>
      </c>
      <c r="AH101" s="4" t="b">
        <f aca="false">FALSE()</f>
        <v>0</v>
      </c>
      <c r="AJ101" s="4" t="b">
        <f aca="false">FALSE()</f>
        <v>0</v>
      </c>
      <c r="AK101" s="4" t="b">
        <f aca="false">FALSE()</f>
        <v>0</v>
      </c>
      <c r="AL101" s="0" t="s">
        <v>67</v>
      </c>
      <c r="AM101" s="0" t="n">
        <v>0.2427</v>
      </c>
      <c r="AN101" s="0" t="n">
        <v>-0.2415</v>
      </c>
      <c r="AO101" s="0" t="n">
        <v>0.4866</v>
      </c>
      <c r="AP101" s="0" t="n">
        <v>-0.4819</v>
      </c>
      <c r="AQ101" s="0" t="n">
        <v>0.9778</v>
      </c>
      <c r="AR101" s="0" t="n">
        <v>-0.9591</v>
      </c>
    </row>
    <row r="102" customFormat="false" ht="15" hidden="false" customHeight="false" outlineLevel="0" collapsed="false">
      <c r="A102" s="0" t="s">
        <v>476</v>
      </c>
      <c r="B102" s="0" t="s">
        <v>477</v>
      </c>
      <c r="C102" s="0" t="s">
        <v>397</v>
      </c>
      <c r="D102" s="0" t="s">
        <v>59</v>
      </c>
      <c r="E102" s="0" t="s">
        <v>60</v>
      </c>
      <c r="F102" s="0" t="s">
        <v>61</v>
      </c>
      <c r="G102" s="0" t="n">
        <v>100</v>
      </c>
      <c r="H102" s="0" t="n">
        <v>0.0721</v>
      </c>
      <c r="I102" s="0" t="n">
        <v>2</v>
      </c>
      <c r="J102" s="0" t="s">
        <v>62</v>
      </c>
      <c r="K102" s="0" t="s">
        <v>478</v>
      </c>
      <c r="L102" s="0" t="s">
        <v>479</v>
      </c>
      <c r="M102" s="0" t="s">
        <v>65</v>
      </c>
      <c r="N102" s="0" t="n">
        <v>1.2457</v>
      </c>
      <c r="O102" s="0" t="n">
        <v>5</v>
      </c>
      <c r="P102" s="0" t="n">
        <v>0.0793</v>
      </c>
      <c r="Q102" s="0" t="n">
        <v>99.3207</v>
      </c>
      <c r="R102" s="0" t="n">
        <v>0.5637</v>
      </c>
      <c r="S102" s="0" t="n">
        <v>100.6962</v>
      </c>
      <c r="T102" s="0" t="n">
        <v>0.9825</v>
      </c>
      <c r="U102" s="0" t="n">
        <v>0.945</v>
      </c>
      <c r="V102" s="0" t="n">
        <v>1.3555</v>
      </c>
      <c r="W102" s="0" t="n">
        <v>0.0094</v>
      </c>
      <c r="X102" s="0" t="n">
        <v>0.945</v>
      </c>
      <c r="Y102" s="0" t="n">
        <v>1.3555</v>
      </c>
      <c r="Z102" s="0" t="n">
        <v>0</v>
      </c>
      <c r="AA102" s="0" t="n">
        <v>0</v>
      </c>
      <c r="AB102" s="0" t="n">
        <v>10</v>
      </c>
      <c r="AC102" s="0" t="s">
        <v>91</v>
      </c>
      <c r="AD102" s="0" t="n">
        <v>200000</v>
      </c>
      <c r="AE102" s="0" t="n">
        <v>198641.4</v>
      </c>
      <c r="AF102" s="0" t="n">
        <v>198641.4</v>
      </c>
      <c r="AG102" s="0" t="n">
        <v>0.006196</v>
      </c>
      <c r="AH102" s="4" t="b">
        <f aca="false">FALSE()</f>
        <v>0</v>
      </c>
      <c r="AJ102" s="4" t="b">
        <f aca="false">FALSE()</f>
        <v>0</v>
      </c>
      <c r="AK102" s="4" t="b">
        <f aca="false">FALSE()</f>
        <v>0</v>
      </c>
      <c r="AL102" s="0" t="s">
        <v>67</v>
      </c>
      <c r="AM102" s="0" t="n">
        <v>0.471</v>
      </c>
      <c r="AN102" s="0" t="n">
        <v>-0.4676</v>
      </c>
      <c r="AO102" s="0" t="n">
        <v>0.9453</v>
      </c>
      <c r="AP102" s="0" t="n">
        <v>-0.9318</v>
      </c>
      <c r="AQ102" s="0" t="n">
        <v>1.9041</v>
      </c>
      <c r="AR102" s="0" t="n">
        <v>-1.8502</v>
      </c>
    </row>
    <row r="103" customFormat="false" ht="15" hidden="false" customHeight="false" outlineLevel="0" collapsed="false">
      <c r="A103" s="0" t="s">
        <v>480</v>
      </c>
      <c r="B103" s="0" t="s">
        <v>481</v>
      </c>
      <c r="C103" s="0" t="s">
        <v>397</v>
      </c>
      <c r="D103" s="0" t="s">
        <v>59</v>
      </c>
      <c r="E103" s="0" t="s">
        <v>60</v>
      </c>
      <c r="F103" s="0" t="s">
        <v>61</v>
      </c>
      <c r="G103" s="0" t="n">
        <v>100</v>
      </c>
      <c r="H103" s="0" t="n">
        <v>0.0749</v>
      </c>
      <c r="I103" s="0" t="n">
        <v>2</v>
      </c>
      <c r="J103" s="0" t="s">
        <v>62</v>
      </c>
      <c r="K103" s="0" t="s">
        <v>482</v>
      </c>
      <c r="L103" s="0" t="s">
        <v>483</v>
      </c>
      <c r="M103" s="0" t="s">
        <v>65</v>
      </c>
      <c r="N103" s="0" t="n">
        <v>2.3984</v>
      </c>
      <c r="O103" s="0" t="n">
        <v>3</v>
      </c>
      <c r="P103" s="0" t="n">
        <v>0.0749</v>
      </c>
      <c r="Q103" s="0" t="n">
        <v>100</v>
      </c>
      <c r="R103" s="0" t="n">
        <v>1.2251</v>
      </c>
      <c r="S103" s="0" t="n">
        <v>100.8812</v>
      </c>
      <c r="T103" s="0" t="n">
        <v>1.8943</v>
      </c>
      <c r="U103" s="0" t="n">
        <v>1.8259</v>
      </c>
      <c r="V103" s="0" t="n">
        <v>4.3191</v>
      </c>
      <c r="W103" s="0" t="n">
        <v>0.0183</v>
      </c>
      <c r="X103" s="0" t="n">
        <v>1.8259</v>
      </c>
      <c r="Y103" s="0" t="n">
        <v>4.3191</v>
      </c>
      <c r="Z103" s="0" t="n">
        <v>0</v>
      </c>
      <c r="AA103" s="0" t="n">
        <v>0</v>
      </c>
      <c r="AB103" s="0" t="n">
        <v>-5</v>
      </c>
      <c r="AC103" s="0" t="s">
        <v>66</v>
      </c>
      <c r="AD103" s="0" t="n">
        <v>500000</v>
      </c>
      <c r="AE103" s="0" t="n">
        <v>500000</v>
      </c>
      <c r="AF103" s="0" t="n">
        <v>500000</v>
      </c>
      <c r="AG103" s="0" t="n">
        <v>0.015596</v>
      </c>
      <c r="AH103" s="4" t="b">
        <f aca="false">FALSE()</f>
        <v>0</v>
      </c>
      <c r="AJ103" s="4" t="b">
        <f aca="false">FALSE()</f>
        <v>0</v>
      </c>
      <c r="AK103" s="4" t="b">
        <f aca="false">FALSE()</f>
        <v>0</v>
      </c>
      <c r="AL103" s="0" t="s">
        <v>67</v>
      </c>
      <c r="AM103" s="0" t="n">
        <v>0.9183</v>
      </c>
      <c r="AN103" s="0" t="n">
        <v>-0.9076</v>
      </c>
      <c r="AO103" s="0" t="n">
        <v>1.8475</v>
      </c>
      <c r="AP103" s="0" t="n">
        <v>-1.8043</v>
      </c>
      <c r="AQ103" s="0" t="n">
        <v>3.7382</v>
      </c>
      <c r="AR103" s="0" t="n">
        <v>-3.5654</v>
      </c>
    </row>
    <row r="104" customFormat="false" ht="15" hidden="false" customHeight="false" outlineLevel="0" collapsed="false">
      <c r="A104" s="0" t="s">
        <v>484</v>
      </c>
      <c r="B104" s="0" t="s">
        <v>485</v>
      </c>
      <c r="C104" s="0" t="s">
        <v>437</v>
      </c>
      <c r="D104" s="0" t="s">
        <v>59</v>
      </c>
      <c r="E104" s="0" t="s">
        <v>60</v>
      </c>
      <c r="F104" s="0" t="s">
        <v>61</v>
      </c>
      <c r="G104" s="0" t="n">
        <v>100</v>
      </c>
      <c r="H104" s="0" t="n">
        <v>0.0746</v>
      </c>
      <c r="I104" s="0" t="n">
        <v>2</v>
      </c>
      <c r="J104" s="0" t="s">
        <v>62</v>
      </c>
      <c r="K104" s="0" t="s">
        <v>486</v>
      </c>
      <c r="L104" s="0" t="s">
        <v>487</v>
      </c>
      <c r="M104" s="0" t="s">
        <v>65</v>
      </c>
      <c r="N104" s="0" t="n">
        <v>3.6277</v>
      </c>
      <c r="O104" s="0" t="n">
        <v>8</v>
      </c>
      <c r="P104" s="0" t="n">
        <v>0.0707</v>
      </c>
      <c r="Q104" s="0" t="n">
        <v>101.1908</v>
      </c>
      <c r="R104" s="0" t="n">
        <v>0.8399</v>
      </c>
      <c r="S104" s="0" t="n">
        <v>102.2163</v>
      </c>
      <c r="T104" s="0" t="n">
        <v>3.1467</v>
      </c>
      <c r="U104" s="0" t="n">
        <v>3.0393</v>
      </c>
      <c r="V104" s="0" t="n">
        <v>11.3152</v>
      </c>
      <c r="W104" s="0" t="n">
        <v>0.0308</v>
      </c>
      <c r="X104" s="0" t="n">
        <v>3.0393</v>
      </c>
      <c r="Y104" s="0" t="n">
        <v>11.3152</v>
      </c>
      <c r="Z104" s="0" t="n">
        <v>0</v>
      </c>
      <c r="AA104" s="0" t="n">
        <v>0</v>
      </c>
      <c r="AB104" s="0" t="n">
        <v>-2</v>
      </c>
      <c r="AC104" s="0" t="s">
        <v>230</v>
      </c>
      <c r="AD104" s="0" t="n">
        <v>100000</v>
      </c>
      <c r="AE104" s="0" t="n">
        <v>101190.8</v>
      </c>
      <c r="AF104" s="0" t="n">
        <v>101190.8</v>
      </c>
      <c r="AG104" s="0" t="n">
        <v>0.003156</v>
      </c>
      <c r="AH104" s="4" t="b">
        <f aca="false">FALSE()</f>
        <v>0</v>
      </c>
      <c r="AJ104" s="4" t="b">
        <f aca="false">FALSE()</f>
        <v>0</v>
      </c>
      <c r="AK104" s="4" t="b">
        <f aca="false">FALSE()</f>
        <v>0</v>
      </c>
      <c r="AL104" s="0" t="s">
        <v>67</v>
      </c>
      <c r="AM104" s="0" t="n">
        <v>1.5521</v>
      </c>
      <c r="AN104" s="0" t="n">
        <v>-1.5234</v>
      </c>
      <c r="AO104" s="0" t="n">
        <v>3.1327</v>
      </c>
      <c r="AP104" s="0" t="n">
        <v>-3.0182</v>
      </c>
      <c r="AQ104" s="0" t="n">
        <v>6.38</v>
      </c>
      <c r="AR104" s="0" t="n">
        <v>-5.922</v>
      </c>
    </row>
    <row r="105" customFormat="false" ht="15" hidden="false" customHeight="false" outlineLevel="0" collapsed="false">
      <c r="A105" s="0" t="s">
        <v>488</v>
      </c>
      <c r="B105" s="0" t="s">
        <v>489</v>
      </c>
      <c r="C105" s="0" t="s">
        <v>446</v>
      </c>
      <c r="D105" s="0" t="s">
        <v>59</v>
      </c>
      <c r="E105" s="0" t="s">
        <v>60</v>
      </c>
      <c r="F105" s="0" t="s">
        <v>61</v>
      </c>
      <c r="G105" s="0" t="n">
        <v>100</v>
      </c>
      <c r="H105" s="0" t="n">
        <v>0.0718</v>
      </c>
      <c r="I105" s="0" t="n">
        <v>2</v>
      </c>
      <c r="J105" s="0" t="s">
        <v>62</v>
      </c>
      <c r="K105" s="0" t="s">
        <v>490</v>
      </c>
      <c r="L105" s="0" t="s">
        <v>491</v>
      </c>
      <c r="M105" s="0" t="s">
        <v>65</v>
      </c>
      <c r="N105" s="0" t="n">
        <v>2.4093</v>
      </c>
      <c r="O105" s="0" t="n">
        <v>3</v>
      </c>
      <c r="P105" s="0" t="n">
        <v>0.0714</v>
      </c>
      <c r="Q105" s="0" t="n">
        <v>100.0733</v>
      </c>
      <c r="R105" s="0" t="n">
        <v>1.4431</v>
      </c>
      <c r="S105" s="0" t="n">
        <v>101.0055</v>
      </c>
      <c r="T105" s="0" t="n">
        <v>1.8985</v>
      </c>
      <c r="U105" s="0" t="n">
        <v>1.8331</v>
      </c>
      <c r="V105" s="0" t="n">
        <v>4.3466</v>
      </c>
      <c r="W105" s="0" t="n">
        <v>0.0183</v>
      </c>
      <c r="X105" s="0" t="n">
        <v>1.8331</v>
      </c>
      <c r="Y105" s="0" t="n">
        <v>4.3466</v>
      </c>
      <c r="Z105" s="0" t="n">
        <v>0</v>
      </c>
      <c r="AA105" s="0" t="n">
        <v>0</v>
      </c>
      <c r="AB105" s="0" t="n">
        <v>-1</v>
      </c>
      <c r="AC105" s="0" t="s">
        <v>66</v>
      </c>
      <c r="AD105" s="0" t="n">
        <v>20000</v>
      </c>
      <c r="AE105" s="0" t="n">
        <v>20014.66</v>
      </c>
      <c r="AF105" s="0" t="n">
        <v>20014.66</v>
      </c>
      <c r="AG105" s="0" t="n">
        <v>0.000624</v>
      </c>
      <c r="AH105" s="4" t="b">
        <f aca="false">FALSE()</f>
        <v>0</v>
      </c>
      <c r="AJ105" s="4" t="b">
        <f aca="false">FALSE()</f>
        <v>0</v>
      </c>
      <c r="AK105" s="4" t="b">
        <f aca="false">FALSE()</f>
        <v>0</v>
      </c>
      <c r="AL105" s="0" t="s">
        <v>67</v>
      </c>
      <c r="AM105" s="0" t="n">
        <v>0.9227</v>
      </c>
      <c r="AN105" s="0" t="n">
        <v>-0.9118</v>
      </c>
      <c r="AO105" s="0" t="n">
        <v>1.8562</v>
      </c>
      <c r="AP105" s="0" t="n">
        <v>-1.8127</v>
      </c>
      <c r="AQ105" s="0" t="n">
        <v>3.7559</v>
      </c>
      <c r="AR105" s="0" t="n">
        <v>-3.5819</v>
      </c>
    </row>
    <row r="106" customFormat="false" ht="15" hidden="false" customHeight="false" outlineLevel="0" collapsed="false">
      <c r="A106" s="0" t="s">
        <v>492</v>
      </c>
      <c r="B106" s="0" t="s">
        <v>493</v>
      </c>
      <c r="C106" s="0" t="s">
        <v>446</v>
      </c>
      <c r="D106" s="0" t="s">
        <v>59</v>
      </c>
      <c r="E106" s="0" t="s">
        <v>60</v>
      </c>
      <c r="F106" s="0" t="s">
        <v>61</v>
      </c>
      <c r="G106" s="0" t="n">
        <v>100</v>
      </c>
      <c r="H106" s="0" t="n">
        <v>0.0791</v>
      </c>
      <c r="I106" s="0" t="n">
        <v>2</v>
      </c>
      <c r="J106" s="0" t="s">
        <v>62</v>
      </c>
      <c r="K106" s="0" t="s">
        <v>494</v>
      </c>
      <c r="L106" s="0" t="s">
        <v>495</v>
      </c>
      <c r="M106" s="0" t="s">
        <v>65</v>
      </c>
      <c r="N106" s="0" t="n">
        <v>5.5989</v>
      </c>
      <c r="O106" s="0" t="n">
        <v>11</v>
      </c>
      <c r="P106" s="0" t="n">
        <v>0.0756</v>
      </c>
      <c r="Q106" s="0" t="n">
        <v>101.5514</v>
      </c>
      <c r="R106" s="0" t="n">
        <v>1.6131</v>
      </c>
      <c r="S106" s="0" t="n">
        <v>102.2798</v>
      </c>
      <c r="T106" s="0" t="n">
        <v>4.573</v>
      </c>
      <c r="U106" s="0" t="n">
        <v>4.4064</v>
      </c>
      <c r="V106" s="0" t="n">
        <v>23.8472</v>
      </c>
      <c r="W106" s="0" t="n">
        <v>0.0447</v>
      </c>
      <c r="X106" s="0" t="n">
        <v>4.4064</v>
      </c>
      <c r="Y106" s="0" t="n">
        <v>23.8472</v>
      </c>
      <c r="Z106" s="0" t="n">
        <v>0</v>
      </c>
      <c r="AA106" s="0" t="n">
        <v>0</v>
      </c>
      <c r="AB106" s="0" t="n">
        <v>-2</v>
      </c>
      <c r="AC106" s="0" t="s">
        <v>77</v>
      </c>
      <c r="AD106" s="0" t="n">
        <v>50000</v>
      </c>
      <c r="AE106" s="0" t="n">
        <v>50775.7</v>
      </c>
      <c r="AF106" s="0" t="n">
        <v>50775.7</v>
      </c>
      <c r="AG106" s="0" t="n">
        <v>0.001584</v>
      </c>
      <c r="AH106" s="4" t="b">
        <f aca="false">FALSE()</f>
        <v>0</v>
      </c>
      <c r="AJ106" s="4" t="b">
        <f aca="false">FALSE()</f>
        <v>0</v>
      </c>
      <c r="AK106" s="4" t="b">
        <f aca="false">FALSE()</f>
        <v>0</v>
      </c>
      <c r="AL106" s="0" t="s">
        <v>67</v>
      </c>
      <c r="AM106" s="0" t="n">
        <v>2.2677</v>
      </c>
      <c r="AN106" s="0" t="n">
        <v>-2.2071</v>
      </c>
      <c r="AO106" s="0" t="n">
        <v>4.5958</v>
      </c>
      <c r="AP106" s="0" t="n">
        <v>-4.3537</v>
      </c>
      <c r="AQ106" s="0" t="n">
        <v>9.4339</v>
      </c>
      <c r="AR106" s="0" t="n">
        <v>-8.4652</v>
      </c>
    </row>
    <row r="107" customFormat="false" ht="15" hidden="false" customHeight="false" outlineLevel="0" collapsed="false">
      <c r="A107" s="0" t="s">
        <v>496</v>
      </c>
      <c r="B107" s="0" t="s">
        <v>497</v>
      </c>
      <c r="C107" s="0" t="s">
        <v>415</v>
      </c>
      <c r="D107" s="0" t="s">
        <v>59</v>
      </c>
      <c r="E107" s="0" t="s">
        <v>60</v>
      </c>
      <c r="F107" s="0" t="s">
        <v>61</v>
      </c>
      <c r="G107" s="0" t="n">
        <v>100</v>
      </c>
      <c r="H107" s="0" t="n">
        <v>0.0749</v>
      </c>
      <c r="I107" s="0" t="n">
        <v>2</v>
      </c>
      <c r="J107" s="0" t="s">
        <v>62</v>
      </c>
      <c r="K107" s="0" t="s">
        <v>498</v>
      </c>
      <c r="L107" s="0" t="s">
        <v>499</v>
      </c>
      <c r="M107" s="0" t="s">
        <v>65</v>
      </c>
      <c r="N107" s="0" t="n">
        <v>2.4038</v>
      </c>
      <c r="O107" s="0" t="n">
        <v>5</v>
      </c>
      <c r="P107" s="0" t="n">
        <v>0.0772</v>
      </c>
      <c r="Q107" s="0" t="n">
        <v>99.5812</v>
      </c>
      <c r="R107" s="0" t="n">
        <v>1.5751</v>
      </c>
      <c r="S107" s="0" t="n">
        <v>99.8579</v>
      </c>
      <c r="T107" s="0" t="n">
        <v>1.894</v>
      </c>
      <c r="U107" s="0" t="n">
        <v>1.8236</v>
      </c>
      <c r="V107" s="0" t="n">
        <v>4.3088</v>
      </c>
      <c r="W107" s="0" t="n">
        <v>0.0182</v>
      </c>
      <c r="X107" s="0" t="n">
        <v>1.8236</v>
      </c>
      <c r="Y107" s="0" t="n">
        <v>4.3088</v>
      </c>
      <c r="Z107" s="0" t="n">
        <v>0</v>
      </c>
      <c r="AA107" s="0" t="n">
        <v>0</v>
      </c>
      <c r="AB107" s="0" t="n">
        <v>2</v>
      </c>
      <c r="AC107" s="0" t="s">
        <v>66</v>
      </c>
      <c r="AD107" s="0" t="n">
        <v>500000</v>
      </c>
      <c r="AE107" s="0" t="n">
        <v>497906</v>
      </c>
      <c r="AF107" s="0" t="n">
        <v>497906</v>
      </c>
      <c r="AG107" s="0" t="n">
        <v>0.015531</v>
      </c>
      <c r="AH107" s="4" t="b">
        <f aca="false">FALSE()</f>
        <v>0</v>
      </c>
      <c r="AJ107" s="4" t="b">
        <f aca="false">FALSE()</f>
        <v>0</v>
      </c>
      <c r="AK107" s="4" t="b">
        <f aca="false">FALSE()</f>
        <v>0</v>
      </c>
      <c r="AL107" s="0" t="s">
        <v>67</v>
      </c>
      <c r="AM107" s="0" t="n">
        <v>0.9133</v>
      </c>
      <c r="AN107" s="0" t="n">
        <v>-0.9026</v>
      </c>
      <c r="AO107" s="0" t="n">
        <v>1.8374</v>
      </c>
      <c r="AP107" s="0" t="n">
        <v>-1.7945</v>
      </c>
      <c r="AQ107" s="0" t="n">
        <v>3.7177</v>
      </c>
      <c r="AR107" s="0" t="n">
        <v>-3.5461</v>
      </c>
    </row>
    <row r="108" customFormat="false" ht="15" hidden="false" customHeight="false" outlineLevel="0" collapsed="false">
      <c r="A108" s="0" t="s">
        <v>500</v>
      </c>
      <c r="B108" s="0" t="s">
        <v>501</v>
      </c>
      <c r="C108" s="0" t="s">
        <v>424</v>
      </c>
      <c r="D108" s="0" t="s">
        <v>59</v>
      </c>
      <c r="E108" s="0" t="s">
        <v>60</v>
      </c>
      <c r="F108" s="0" t="s">
        <v>61</v>
      </c>
      <c r="G108" s="0" t="n">
        <v>100</v>
      </c>
      <c r="H108" s="0" t="n">
        <v>0.072</v>
      </c>
      <c r="I108" s="0" t="n">
        <v>2</v>
      </c>
      <c r="J108" s="0" t="s">
        <v>62</v>
      </c>
      <c r="K108" s="0" t="s">
        <v>502</v>
      </c>
      <c r="L108" s="0" t="s">
        <v>503</v>
      </c>
      <c r="M108" s="0" t="s">
        <v>65</v>
      </c>
      <c r="N108" s="0" t="n">
        <v>5.9357</v>
      </c>
      <c r="O108" s="0" t="n">
        <v>15</v>
      </c>
      <c r="P108" s="0" t="n">
        <v>0.0747</v>
      </c>
      <c r="Q108" s="0" t="n">
        <v>98.8003</v>
      </c>
      <c r="R108" s="0" t="n">
        <v>1.3245</v>
      </c>
      <c r="S108" s="0" t="n">
        <v>98.9124</v>
      </c>
      <c r="T108" s="0" t="n">
        <v>4.6312</v>
      </c>
      <c r="U108" s="0" t="n">
        <v>4.4645</v>
      </c>
      <c r="V108" s="0" t="n">
        <v>24.2943</v>
      </c>
      <c r="W108" s="0" t="n">
        <v>0.0441</v>
      </c>
      <c r="X108" s="0" t="n">
        <v>4.4645</v>
      </c>
      <c r="Y108" s="0" t="n">
        <v>24.2943</v>
      </c>
      <c r="Z108" s="0" t="n">
        <v>0</v>
      </c>
      <c r="AA108" s="0" t="n">
        <v>0</v>
      </c>
      <c r="AB108" s="0" t="n">
        <v>-1</v>
      </c>
      <c r="AC108" s="0" t="s">
        <v>77</v>
      </c>
      <c r="AD108" s="0" t="n">
        <v>500000</v>
      </c>
      <c r="AE108" s="0" t="n">
        <v>494001.5</v>
      </c>
      <c r="AF108" s="0" t="n">
        <v>494001.5</v>
      </c>
      <c r="AG108" s="0" t="n">
        <v>0.015409</v>
      </c>
      <c r="AH108" s="4" t="b">
        <f aca="false">FALSE()</f>
        <v>0</v>
      </c>
      <c r="AJ108" s="4" t="b">
        <f aca="false">FALSE()</f>
        <v>0</v>
      </c>
      <c r="AK108" s="4" t="b">
        <f aca="false">FALSE()</f>
        <v>0</v>
      </c>
      <c r="AL108" s="0" t="s">
        <v>67</v>
      </c>
      <c r="AM108" s="0" t="n">
        <v>2.2355</v>
      </c>
      <c r="AN108" s="0" t="n">
        <v>-2.1755</v>
      </c>
      <c r="AO108" s="0" t="n">
        <v>4.531</v>
      </c>
      <c r="AP108" s="0" t="n">
        <v>-4.2909</v>
      </c>
      <c r="AQ108" s="0" t="n">
        <v>9.3019</v>
      </c>
      <c r="AR108" s="0" t="n">
        <v>-8.3418</v>
      </c>
    </row>
    <row r="109" customFormat="false" ht="15" hidden="false" customHeight="false" outlineLevel="0" collapsed="false">
      <c r="A109" s="0" t="s">
        <v>504</v>
      </c>
      <c r="B109" s="0" t="s">
        <v>505</v>
      </c>
      <c r="C109" s="0" t="s">
        <v>393</v>
      </c>
      <c r="D109" s="0" t="s">
        <v>59</v>
      </c>
      <c r="E109" s="0" t="s">
        <v>60</v>
      </c>
      <c r="F109" s="0" t="s">
        <v>61</v>
      </c>
      <c r="G109" s="0" t="n">
        <v>100</v>
      </c>
      <c r="H109" s="0" t="n">
        <v>0.0743</v>
      </c>
      <c r="I109" s="0" t="n">
        <v>2</v>
      </c>
      <c r="J109" s="0" t="s">
        <v>62</v>
      </c>
      <c r="K109" s="0" t="s">
        <v>506</v>
      </c>
      <c r="L109" s="0" t="s">
        <v>507</v>
      </c>
      <c r="M109" s="0" t="s">
        <v>65</v>
      </c>
      <c r="N109" s="0" t="n">
        <v>3.2361</v>
      </c>
      <c r="O109" s="0" t="n">
        <v>13</v>
      </c>
      <c r="P109" s="0" t="n">
        <v>0.0772</v>
      </c>
      <c r="Q109" s="0" t="n">
        <v>99.2364</v>
      </c>
      <c r="R109" s="0" t="n">
        <v>1.4928</v>
      </c>
      <c r="S109" s="0" t="n">
        <v>99.7275</v>
      </c>
      <c r="T109" s="0" t="n">
        <v>2.7427</v>
      </c>
      <c r="U109" s="0" t="n">
        <v>2.6408</v>
      </c>
      <c r="V109" s="0" t="n">
        <v>8.6278</v>
      </c>
      <c r="W109" s="0" t="n">
        <v>0.0262</v>
      </c>
      <c r="X109" s="0" t="n">
        <v>2.6408</v>
      </c>
      <c r="Y109" s="0" t="n">
        <v>8.6278</v>
      </c>
      <c r="Z109" s="0" t="n">
        <v>0</v>
      </c>
      <c r="AA109" s="0" t="n">
        <v>0</v>
      </c>
      <c r="AB109" s="0" t="n">
        <v>10</v>
      </c>
      <c r="AC109" s="0" t="s">
        <v>230</v>
      </c>
      <c r="AD109" s="0" t="n">
        <v>200000</v>
      </c>
      <c r="AE109" s="0" t="n">
        <v>198472.8</v>
      </c>
      <c r="AF109" s="0" t="n">
        <v>198472.8</v>
      </c>
      <c r="AG109" s="0" t="n">
        <v>0.006191</v>
      </c>
      <c r="AH109" s="4" t="b">
        <f aca="false">FALSE()</f>
        <v>0</v>
      </c>
      <c r="AJ109" s="4" t="b">
        <f aca="false">FALSE()</f>
        <v>0</v>
      </c>
      <c r="AK109" s="4" t="b">
        <f aca="false">FALSE()</f>
        <v>0</v>
      </c>
      <c r="AL109" s="0" t="s">
        <v>67</v>
      </c>
      <c r="AM109" s="0" t="n">
        <v>1.321</v>
      </c>
      <c r="AN109" s="0" t="n">
        <v>-1.2996</v>
      </c>
      <c r="AO109" s="0" t="n">
        <v>2.6634</v>
      </c>
      <c r="AP109" s="0" t="n">
        <v>-2.5778</v>
      </c>
      <c r="AQ109" s="0" t="n">
        <v>5.4125</v>
      </c>
      <c r="AR109" s="0" t="n">
        <v>-5.07</v>
      </c>
    </row>
    <row r="110" customFormat="false" ht="15" hidden="false" customHeight="false" outlineLevel="0" collapsed="false">
      <c r="A110" s="0" t="s">
        <v>508</v>
      </c>
      <c r="B110" s="0" t="s">
        <v>509</v>
      </c>
      <c r="C110" s="0" t="s">
        <v>393</v>
      </c>
      <c r="D110" s="0" t="s">
        <v>59</v>
      </c>
      <c r="E110" s="0" t="s">
        <v>60</v>
      </c>
      <c r="F110" s="0" t="s">
        <v>61</v>
      </c>
      <c r="G110" s="0" t="n">
        <v>100</v>
      </c>
      <c r="H110" s="0" t="n">
        <v>0.0732</v>
      </c>
      <c r="I110" s="0" t="n">
        <v>2</v>
      </c>
      <c r="J110" s="0" t="s">
        <v>62</v>
      </c>
      <c r="K110" s="0" t="s">
        <v>510</v>
      </c>
      <c r="L110" s="0" t="s">
        <v>511</v>
      </c>
      <c r="M110" s="0" t="s">
        <v>65</v>
      </c>
      <c r="N110" s="0" t="n">
        <v>1.1636</v>
      </c>
      <c r="O110" s="0" t="n">
        <v>11</v>
      </c>
      <c r="P110" s="0" t="n">
        <v>0.078</v>
      </c>
      <c r="Q110" s="0" t="n">
        <v>99.5467</v>
      </c>
      <c r="R110" s="0" t="n">
        <v>0.5267</v>
      </c>
      <c r="S110" s="0" t="n">
        <v>100.5962</v>
      </c>
      <c r="T110" s="0" t="n">
        <v>0.9823</v>
      </c>
      <c r="U110" s="0" t="n">
        <v>0.9454</v>
      </c>
      <c r="V110" s="0" t="n">
        <v>1.3567</v>
      </c>
      <c r="W110" s="0" t="n">
        <v>0.0094</v>
      </c>
      <c r="X110" s="0" t="n">
        <v>0.9454</v>
      </c>
      <c r="Y110" s="0" t="n">
        <v>1.3567</v>
      </c>
      <c r="Z110" s="0" t="n">
        <v>0</v>
      </c>
      <c r="AA110" s="0" t="n">
        <v>0</v>
      </c>
      <c r="AB110" s="0" t="n">
        <v>7</v>
      </c>
      <c r="AC110" s="0" t="s">
        <v>91</v>
      </c>
      <c r="AD110" s="0" t="n">
        <v>20000</v>
      </c>
      <c r="AE110" s="0" t="n">
        <v>19909.34</v>
      </c>
      <c r="AF110" s="0" t="n">
        <v>19909.34</v>
      </c>
      <c r="AG110" s="0" t="n">
        <v>0.000621</v>
      </c>
      <c r="AH110" s="4" t="b">
        <f aca="false">FALSE()</f>
        <v>0</v>
      </c>
      <c r="AJ110" s="4" t="b">
        <f aca="false">FALSE()</f>
        <v>0</v>
      </c>
      <c r="AK110" s="4" t="b">
        <f aca="false">FALSE()</f>
        <v>0</v>
      </c>
      <c r="AL110" s="0" t="s">
        <v>67</v>
      </c>
      <c r="AM110" s="0" t="n">
        <v>0.4722</v>
      </c>
      <c r="AN110" s="0" t="n">
        <v>-0.4689</v>
      </c>
      <c r="AO110" s="0" t="n">
        <v>0.9479</v>
      </c>
      <c r="AP110" s="0" t="n">
        <v>-0.9344</v>
      </c>
      <c r="AQ110" s="0" t="n">
        <v>1.9092</v>
      </c>
      <c r="AR110" s="0" t="n">
        <v>-1.8552</v>
      </c>
    </row>
    <row r="111" customFormat="false" ht="15" hidden="false" customHeight="false" outlineLevel="0" collapsed="false">
      <c r="A111" s="0" t="s">
        <v>512</v>
      </c>
      <c r="B111" s="0" t="s">
        <v>513</v>
      </c>
      <c r="C111" s="0" t="s">
        <v>415</v>
      </c>
      <c r="D111" s="0" t="s">
        <v>59</v>
      </c>
      <c r="E111" s="0" t="s">
        <v>60</v>
      </c>
      <c r="F111" s="0" t="s">
        <v>61</v>
      </c>
      <c r="G111" s="0" t="n">
        <v>100</v>
      </c>
      <c r="H111" s="0" t="n">
        <v>0.0686</v>
      </c>
      <c r="I111" s="0" t="n">
        <v>2</v>
      </c>
      <c r="J111" s="0" t="s">
        <v>62</v>
      </c>
      <c r="K111" s="0" t="s">
        <v>514</v>
      </c>
      <c r="L111" s="0" t="s">
        <v>515</v>
      </c>
      <c r="M111" s="0" t="s">
        <v>65</v>
      </c>
      <c r="N111" s="0" t="n">
        <v>7.7837</v>
      </c>
      <c r="O111" s="0" t="n">
        <v>11</v>
      </c>
      <c r="P111" s="0" t="n">
        <v>0.0756</v>
      </c>
      <c r="Q111" s="0" t="n">
        <v>96.048</v>
      </c>
      <c r="R111" s="0" t="n">
        <v>0.2354</v>
      </c>
      <c r="S111" s="0" t="n">
        <v>97.1039</v>
      </c>
      <c r="T111" s="0" t="n">
        <v>5.9498</v>
      </c>
      <c r="U111" s="0" t="n">
        <v>5.7331</v>
      </c>
      <c r="V111" s="0" t="n">
        <v>40.6528</v>
      </c>
      <c r="W111" s="0" t="n">
        <v>0.0551</v>
      </c>
      <c r="X111" s="0" t="n">
        <v>5.7331</v>
      </c>
      <c r="Y111" s="0" t="n">
        <v>40.6528</v>
      </c>
      <c r="Z111" s="0" t="n">
        <v>0</v>
      </c>
      <c r="AA111" s="0" t="n">
        <v>0</v>
      </c>
      <c r="AB111" s="0" t="n">
        <v>2</v>
      </c>
      <c r="AC111" s="0" t="s">
        <v>210</v>
      </c>
      <c r="AD111" s="0" t="n">
        <v>20000</v>
      </c>
      <c r="AE111" s="0" t="n">
        <v>19209.6</v>
      </c>
      <c r="AF111" s="0" t="n">
        <v>19209.6</v>
      </c>
      <c r="AG111" s="0" t="n">
        <v>0.000599</v>
      </c>
      <c r="AH111" s="4" t="b">
        <f aca="false">FALSE()</f>
        <v>0</v>
      </c>
      <c r="AJ111" s="4" t="b">
        <f aca="false">FALSE()</f>
        <v>0</v>
      </c>
      <c r="AK111" s="4" t="b">
        <f aca="false">FALSE()</f>
        <v>0</v>
      </c>
      <c r="AL111" s="0" t="s">
        <v>67</v>
      </c>
      <c r="AM111" s="0" t="n">
        <v>2.8021</v>
      </c>
      <c r="AN111" s="0" t="n">
        <v>-2.7045</v>
      </c>
      <c r="AO111" s="0" t="n">
        <v>5.7018</v>
      </c>
      <c r="AP111" s="0" t="n">
        <v>-5.3113</v>
      </c>
      <c r="AQ111" s="0" t="n">
        <v>11.794</v>
      </c>
      <c r="AR111" s="0" t="n">
        <v>-10.2321</v>
      </c>
    </row>
    <row r="112" customFormat="false" ht="15" hidden="false" customHeight="false" outlineLevel="0" collapsed="false">
      <c r="A112" s="0" t="s">
        <v>516</v>
      </c>
      <c r="B112" s="0" t="s">
        <v>517</v>
      </c>
      <c r="C112" s="0" t="s">
        <v>518</v>
      </c>
      <c r="D112" s="0" t="s">
        <v>519</v>
      </c>
      <c r="E112" s="0" t="s">
        <v>520</v>
      </c>
      <c r="F112" s="0" t="s">
        <v>61</v>
      </c>
      <c r="G112" s="0" t="n">
        <v>100</v>
      </c>
      <c r="H112" s="0" t="n">
        <v>0.0701</v>
      </c>
      <c r="I112" s="0" t="n">
        <v>2</v>
      </c>
      <c r="J112" s="0" t="s">
        <v>62</v>
      </c>
      <c r="K112" s="0" t="s">
        <v>521</v>
      </c>
      <c r="L112" s="0" t="s">
        <v>522</v>
      </c>
      <c r="M112" s="0" t="s">
        <v>65</v>
      </c>
      <c r="N112" s="0" t="n">
        <v>0.7009</v>
      </c>
      <c r="O112" s="0" t="n">
        <v>10</v>
      </c>
      <c r="P112" s="0" t="n">
        <v>0.0771</v>
      </c>
      <c r="Q112" s="0" t="n">
        <v>99.663</v>
      </c>
      <c r="R112" s="0" t="n">
        <v>0.8337</v>
      </c>
      <c r="S112" s="0" t="n">
        <v>100.8031</v>
      </c>
      <c r="T112" s="0" t="n">
        <v>0.5</v>
      </c>
      <c r="U112" s="0" t="n">
        <v>0.4814</v>
      </c>
      <c r="V112" s="0" t="n">
        <v>0.4636</v>
      </c>
      <c r="W112" s="0" t="n">
        <v>0.0048</v>
      </c>
      <c r="X112" s="0" t="n">
        <v>0.4814</v>
      </c>
      <c r="Y112" s="0" t="n">
        <v>0.4636</v>
      </c>
      <c r="Z112" s="0" t="n">
        <v>79</v>
      </c>
      <c r="AA112" s="0" t="n">
        <v>79</v>
      </c>
      <c r="AB112" s="0" t="n">
        <v>83</v>
      </c>
      <c r="AC112" s="0" t="s">
        <v>173</v>
      </c>
      <c r="AD112" s="0" t="n">
        <v>200000</v>
      </c>
      <c r="AE112" s="0" t="n">
        <v>199326</v>
      </c>
      <c r="AF112" s="0" t="n">
        <v>199326</v>
      </c>
      <c r="AG112" s="0" t="n">
        <v>0.006217</v>
      </c>
      <c r="AH112" s="4" t="b">
        <f aca="false">FALSE()</f>
        <v>0</v>
      </c>
      <c r="AJ112" s="4" t="b">
        <f aca="false">FALSE()</f>
        <v>0</v>
      </c>
      <c r="AK112" s="4" t="b">
        <f aca="false">FALSE()</f>
        <v>0</v>
      </c>
      <c r="AL112" s="0" t="s">
        <v>67</v>
      </c>
      <c r="AM112" s="0" t="n">
        <v>0.2405</v>
      </c>
      <c r="AN112" s="0" t="n">
        <v>-0.2393</v>
      </c>
      <c r="AO112" s="0" t="n">
        <v>0.4821</v>
      </c>
      <c r="AP112" s="0" t="n">
        <v>-0.4775</v>
      </c>
      <c r="AQ112" s="0" t="n">
        <v>0.9688</v>
      </c>
      <c r="AR112" s="0" t="n">
        <v>-0.9503</v>
      </c>
    </row>
    <row r="113" customFormat="false" ht="15" hidden="false" customHeight="false" outlineLevel="0" collapsed="false">
      <c r="A113" s="0" t="s">
        <v>523</v>
      </c>
      <c r="B113" s="0" t="s">
        <v>524</v>
      </c>
      <c r="C113" s="0" t="s">
        <v>525</v>
      </c>
      <c r="D113" s="0" t="s">
        <v>526</v>
      </c>
      <c r="E113" s="0" t="s">
        <v>520</v>
      </c>
      <c r="F113" s="0" t="s">
        <v>61</v>
      </c>
      <c r="G113" s="0" t="n">
        <v>100</v>
      </c>
      <c r="H113" s="0" t="n">
        <v>0.0899</v>
      </c>
      <c r="I113" s="0" t="n">
        <v>2</v>
      </c>
      <c r="J113" s="0" t="s">
        <v>62</v>
      </c>
      <c r="K113" s="0" t="s">
        <v>527</v>
      </c>
      <c r="L113" s="0" t="s">
        <v>528</v>
      </c>
      <c r="M113" s="0" t="s">
        <v>65</v>
      </c>
      <c r="N113" s="0" t="n">
        <v>1.9849</v>
      </c>
      <c r="O113" s="0" t="n">
        <v>8</v>
      </c>
      <c r="P113" s="0" t="n">
        <v>0.0774</v>
      </c>
      <c r="Q113" s="0" t="n">
        <v>101.7387</v>
      </c>
      <c r="R113" s="0" t="n">
        <v>1.9705</v>
      </c>
      <c r="S113" s="0" t="n">
        <v>101.7595</v>
      </c>
      <c r="T113" s="0" t="n">
        <v>1.437</v>
      </c>
      <c r="U113" s="0" t="n">
        <v>1.3835</v>
      </c>
      <c r="V113" s="0" t="n">
        <v>2.6251</v>
      </c>
      <c r="W113" s="0" t="n">
        <v>0.0141</v>
      </c>
      <c r="X113" s="0" t="n">
        <v>1.3835</v>
      </c>
      <c r="Y113" s="0" t="n">
        <v>2.6251</v>
      </c>
      <c r="Z113" s="0" t="n">
        <v>75</v>
      </c>
      <c r="AA113" s="0" t="n">
        <v>75</v>
      </c>
      <c r="AB113" s="0" t="n">
        <v>73</v>
      </c>
      <c r="AC113" s="0" t="s">
        <v>91</v>
      </c>
      <c r="AD113" s="0" t="n">
        <v>200000</v>
      </c>
      <c r="AE113" s="0" t="n">
        <v>203477.4</v>
      </c>
      <c r="AF113" s="0" t="n">
        <v>203477.4</v>
      </c>
      <c r="AG113" s="0" t="n">
        <v>0.006347</v>
      </c>
      <c r="AH113" s="4" t="b">
        <f aca="false">FALSE()</f>
        <v>0</v>
      </c>
      <c r="AJ113" s="4" t="b">
        <f aca="false">FALSE()</f>
        <v>0</v>
      </c>
      <c r="AK113" s="4" t="b">
        <f aca="false">FALSE()</f>
        <v>0</v>
      </c>
      <c r="AL113" s="0" t="s">
        <v>67</v>
      </c>
      <c r="AM113" s="0" t="n">
        <v>0.7071</v>
      </c>
      <c r="AN113" s="0" t="n">
        <v>-0.7004</v>
      </c>
      <c r="AO113" s="0" t="n">
        <v>1.4209</v>
      </c>
      <c r="AP113" s="0" t="n">
        <v>-1.3942</v>
      </c>
      <c r="AQ113" s="0" t="n">
        <v>2.8685</v>
      </c>
      <c r="AR113" s="0" t="n">
        <v>-2.7617</v>
      </c>
    </row>
    <row r="114" customFormat="false" ht="15" hidden="false" customHeight="false" outlineLevel="0" collapsed="false">
      <c r="A114" s="0" t="s">
        <v>529</v>
      </c>
      <c r="B114" s="0" t="s">
        <v>530</v>
      </c>
      <c r="C114" s="0" t="s">
        <v>525</v>
      </c>
      <c r="D114" s="0" t="s">
        <v>526</v>
      </c>
      <c r="E114" s="0" t="s">
        <v>520</v>
      </c>
      <c r="F114" s="0" t="s">
        <v>61</v>
      </c>
      <c r="G114" s="0" t="n">
        <v>100</v>
      </c>
      <c r="H114" s="0" t="n">
        <v>0.0766</v>
      </c>
      <c r="I114" s="0" t="n">
        <v>2</v>
      </c>
      <c r="J114" s="0" t="s">
        <v>62</v>
      </c>
      <c r="K114" s="0" t="s">
        <v>531</v>
      </c>
      <c r="L114" s="0" t="s">
        <v>532</v>
      </c>
      <c r="M114" s="0" t="s">
        <v>65</v>
      </c>
      <c r="N114" s="0" t="n">
        <v>3.3128</v>
      </c>
      <c r="O114" s="0" t="n">
        <v>9</v>
      </c>
      <c r="P114" s="0" t="n">
        <v>0.0843</v>
      </c>
      <c r="Q114" s="0" t="n">
        <v>97.9958</v>
      </c>
      <c r="R114" s="0" t="n">
        <v>0.565</v>
      </c>
      <c r="S114" s="0" t="n">
        <v>99.2873</v>
      </c>
      <c r="T114" s="0" t="n">
        <v>2.7334</v>
      </c>
      <c r="U114" s="0" t="n">
        <v>2.6228</v>
      </c>
      <c r="V114" s="0" t="n">
        <v>8.5303</v>
      </c>
      <c r="W114" s="0" t="n">
        <v>0.0257</v>
      </c>
      <c r="X114" s="0" t="n">
        <v>2.6228</v>
      </c>
      <c r="Y114" s="0" t="n">
        <v>8.5303</v>
      </c>
      <c r="Z114" s="0" t="n">
        <v>67</v>
      </c>
      <c r="AA114" s="0" t="n">
        <v>67</v>
      </c>
      <c r="AB114" s="0" t="n">
        <v>68</v>
      </c>
      <c r="AC114" s="0" t="s">
        <v>230</v>
      </c>
      <c r="AD114" s="0" t="n">
        <v>5000</v>
      </c>
      <c r="AE114" s="0" t="n">
        <v>4899.79</v>
      </c>
      <c r="AF114" s="0" t="n">
        <v>4899.79</v>
      </c>
      <c r="AG114" s="0" t="n">
        <v>0.000153</v>
      </c>
      <c r="AH114" s="4" t="b">
        <f aca="false">FALSE()</f>
        <v>0</v>
      </c>
      <c r="AJ114" s="4" t="b">
        <f aca="false">FALSE()</f>
        <v>0</v>
      </c>
      <c r="AK114" s="4" t="b">
        <f aca="false">FALSE()</f>
        <v>0</v>
      </c>
      <c r="AL114" s="0" t="s">
        <v>67</v>
      </c>
      <c r="AM114" s="0" t="n">
        <v>1.2956</v>
      </c>
      <c r="AN114" s="0" t="n">
        <v>-1.2747</v>
      </c>
      <c r="AO114" s="0" t="n">
        <v>2.612</v>
      </c>
      <c r="AP114" s="0" t="n">
        <v>-2.5284</v>
      </c>
      <c r="AQ114" s="0" t="n">
        <v>5.3077</v>
      </c>
      <c r="AR114" s="0" t="n">
        <v>-4.9733</v>
      </c>
    </row>
    <row r="115" customFormat="false" ht="15" hidden="false" customHeight="false" outlineLevel="0" collapsed="false">
      <c r="A115" s="0" t="s">
        <v>533</v>
      </c>
      <c r="B115" s="0" t="s">
        <v>534</v>
      </c>
      <c r="C115" s="0" t="s">
        <v>535</v>
      </c>
      <c r="D115" s="0" t="s">
        <v>536</v>
      </c>
      <c r="E115" s="0" t="s">
        <v>520</v>
      </c>
      <c r="F115" s="0" t="s">
        <v>61</v>
      </c>
      <c r="G115" s="0" t="n">
        <v>100</v>
      </c>
      <c r="H115" s="0" t="n">
        <v>0.0765</v>
      </c>
      <c r="I115" s="0" t="n">
        <v>2</v>
      </c>
      <c r="J115" s="0" t="s">
        <v>62</v>
      </c>
      <c r="K115" s="0" t="s">
        <v>537</v>
      </c>
      <c r="L115" s="0" t="s">
        <v>538</v>
      </c>
      <c r="M115" s="0" t="s">
        <v>65</v>
      </c>
      <c r="N115" s="0" t="n">
        <v>4.4709</v>
      </c>
      <c r="O115" s="0" t="n">
        <v>5</v>
      </c>
      <c r="P115" s="0" t="n">
        <v>0.08</v>
      </c>
      <c r="Q115" s="0" t="n">
        <v>98.8218</v>
      </c>
      <c r="R115" s="0" t="n">
        <v>0.6304</v>
      </c>
      <c r="S115" s="0" t="n">
        <v>99.9358</v>
      </c>
      <c r="T115" s="0" t="n">
        <v>3.5172</v>
      </c>
      <c r="U115" s="0" t="n">
        <v>3.3819</v>
      </c>
      <c r="V115" s="0" t="n">
        <v>13.9893</v>
      </c>
      <c r="W115" s="0" t="n">
        <v>0.0334</v>
      </c>
      <c r="X115" s="0" t="n">
        <v>3.3819</v>
      </c>
      <c r="Y115" s="0" t="n">
        <v>13.9893</v>
      </c>
      <c r="Z115" s="0" t="n">
        <v>68</v>
      </c>
      <c r="AA115" s="0" t="n">
        <v>68</v>
      </c>
      <c r="AB115" s="0" t="n">
        <v>63</v>
      </c>
      <c r="AC115" s="0" t="s">
        <v>230</v>
      </c>
      <c r="AD115" s="0" t="n">
        <v>50000</v>
      </c>
      <c r="AE115" s="0" t="n">
        <v>49410.9</v>
      </c>
      <c r="AF115" s="0" t="n">
        <v>49410.9</v>
      </c>
      <c r="AG115" s="0" t="n">
        <v>0.001541</v>
      </c>
      <c r="AH115" s="4" t="b">
        <f aca="false">FALSE()</f>
        <v>0</v>
      </c>
      <c r="AJ115" s="4" t="b">
        <f aca="false">FALSE()</f>
        <v>0</v>
      </c>
      <c r="AK115" s="4" t="b">
        <f aca="false">FALSE()</f>
        <v>0</v>
      </c>
      <c r="AL115" s="0" t="s">
        <v>67</v>
      </c>
      <c r="AM115" s="0" t="n">
        <v>1.6883</v>
      </c>
      <c r="AN115" s="0" t="n">
        <v>-1.6537</v>
      </c>
      <c r="AO115" s="0" t="n">
        <v>3.4112</v>
      </c>
      <c r="AP115" s="0" t="n">
        <v>-3.2729</v>
      </c>
      <c r="AQ115" s="0" t="n">
        <v>6.9606</v>
      </c>
      <c r="AR115" s="0" t="n">
        <v>-6.4076</v>
      </c>
    </row>
    <row r="116" customFormat="false" ht="15" hidden="false" customHeight="false" outlineLevel="0" collapsed="false">
      <c r="A116" s="0" t="s">
        <v>539</v>
      </c>
      <c r="B116" s="0" t="s">
        <v>540</v>
      </c>
      <c r="C116" s="0" t="s">
        <v>541</v>
      </c>
      <c r="D116" s="0" t="s">
        <v>536</v>
      </c>
      <c r="E116" s="0" t="s">
        <v>520</v>
      </c>
      <c r="F116" s="0" t="s">
        <v>61</v>
      </c>
      <c r="G116" s="0" t="n">
        <v>100</v>
      </c>
      <c r="H116" s="0" t="n">
        <v>0.0838</v>
      </c>
      <c r="I116" s="0" t="n">
        <v>2</v>
      </c>
      <c r="J116" s="0" t="s">
        <v>62</v>
      </c>
      <c r="K116" s="0" t="s">
        <v>542</v>
      </c>
      <c r="L116" s="0" t="s">
        <v>543</v>
      </c>
      <c r="M116" s="0" t="s">
        <v>65</v>
      </c>
      <c r="N116" s="0" t="n">
        <v>3.6605</v>
      </c>
      <c r="O116" s="0" t="n">
        <v>6</v>
      </c>
      <c r="P116" s="0" t="n">
        <v>0.0779</v>
      </c>
      <c r="Q116" s="0" t="n">
        <v>101.7775</v>
      </c>
      <c r="R116" s="0" t="n">
        <v>1.5665</v>
      </c>
      <c r="S116" s="0" t="n">
        <v>103.0465</v>
      </c>
      <c r="T116" s="0" t="n">
        <v>3.109</v>
      </c>
      <c r="U116" s="0" t="n">
        <v>2.9924</v>
      </c>
      <c r="V116" s="0" t="n">
        <v>11.0531</v>
      </c>
      <c r="W116" s="0" t="n">
        <v>0.0305</v>
      </c>
      <c r="X116" s="0" t="n">
        <v>2.9924</v>
      </c>
      <c r="Y116" s="0" t="n">
        <v>11.0531</v>
      </c>
      <c r="Z116" s="0" t="n">
        <v>50</v>
      </c>
      <c r="AA116" s="0" t="n">
        <v>50</v>
      </c>
      <c r="AB116" s="0" t="n">
        <v>58</v>
      </c>
      <c r="AC116" s="0" t="s">
        <v>230</v>
      </c>
      <c r="AD116" s="0" t="n">
        <v>10000</v>
      </c>
      <c r="AE116" s="0" t="n">
        <v>10177.75</v>
      </c>
      <c r="AF116" s="0" t="n">
        <v>10177.75</v>
      </c>
      <c r="AG116" s="0" t="n">
        <v>0.000317</v>
      </c>
      <c r="AH116" s="4" t="b">
        <f aca="false">FALSE()</f>
        <v>0</v>
      </c>
      <c r="AJ116" s="4" t="b">
        <f aca="false">FALSE()</f>
        <v>0</v>
      </c>
      <c r="AK116" s="4" t="b">
        <f aca="false">FALSE()</f>
        <v>0</v>
      </c>
      <c r="AL116" s="0" t="s">
        <v>67</v>
      </c>
      <c r="AM116" s="0" t="n">
        <v>1.5369</v>
      </c>
      <c r="AN116" s="0" t="n">
        <v>-1.5087</v>
      </c>
      <c r="AO116" s="0" t="n">
        <v>3.1018</v>
      </c>
      <c r="AP116" s="0" t="n">
        <v>-2.9893</v>
      </c>
      <c r="AQ116" s="0" t="n">
        <v>6.3162</v>
      </c>
      <c r="AR116" s="0" t="n">
        <v>-5.8662</v>
      </c>
    </row>
    <row r="117" customFormat="false" ht="15" hidden="false" customHeight="false" outlineLevel="0" collapsed="false">
      <c r="A117" s="0" t="s">
        <v>544</v>
      </c>
      <c r="B117" s="0" t="s">
        <v>545</v>
      </c>
      <c r="C117" s="0" t="s">
        <v>546</v>
      </c>
      <c r="D117" s="0" t="s">
        <v>536</v>
      </c>
      <c r="E117" s="0" t="s">
        <v>520</v>
      </c>
      <c r="F117" s="0" t="s">
        <v>61</v>
      </c>
      <c r="G117" s="0" t="n">
        <v>100</v>
      </c>
      <c r="H117" s="0" t="n">
        <v>0.0716</v>
      </c>
      <c r="I117" s="0" t="n">
        <v>2</v>
      </c>
      <c r="J117" s="0" t="s">
        <v>62</v>
      </c>
      <c r="K117" s="0" t="s">
        <v>547</v>
      </c>
      <c r="L117" s="0" t="s">
        <v>548</v>
      </c>
      <c r="M117" s="0" t="s">
        <v>65</v>
      </c>
      <c r="N117" s="0" t="n">
        <v>2.3765</v>
      </c>
      <c r="O117" s="0" t="n">
        <v>3</v>
      </c>
      <c r="P117" s="0" t="n">
        <v>0.0821</v>
      </c>
      <c r="Q117" s="0" t="n">
        <v>98.099</v>
      </c>
      <c r="R117" s="0" t="n">
        <v>0.2682</v>
      </c>
      <c r="S117" s="0" t="n">
        <v>98.6863</v>
      </c>
      <c r="T117" s="0" t="n">
        <v>1.8976</v>
      </c>
      <c r="U117" s="0" t="n">
        <v>1.8228</v>
      </c>
      <c r="V117" s="0" t="n">
        <v>4.2995</v>
      </c>
      <c r="W117" s="0" t="n">
        <v>0.0179</v>
      </c>
      <c r="X117" s="0" t="n">
        <v>1.8228</v>
      </c>
      <c r="Y117" s="0" t="n">
        <v>4.2995</v>
      </c>
      <c r="Z117" s="0" t="n">
        <v>32</v>
      </c>
      <c r="AA117" s="0" t="n">
        <v>32</v>
      </c>
      <c r="AB117" s="0" t="n">
        <v>41</v>
      </c>
      <c r="AC117" s="0" t="s">
        <v>66</v>
      </c>
      <c r="AD117" s="0" t="n">
        <v>100000</v>
      </c>
      <c r="AE117" s="0" t="n">
        <v>98099</v>
      </c>
      <c r="AF117" s="0" t="n">
        <v>98099</v>
      </c>
      <c r="AG117" s="0" t="n">
        <v>0.00306</v>
      </c>
      <c r="AH117" s="4" t="b">
        <f aca="false">FALSE()</f>
        <v>0</v>
      </c>
      <c r="AJ117" s="4" t="b">
        <f aca="false">FALSE()</f>
        <v>0</v>
      </c>
      <c r="AK117" s="4" t="b">
        <f aca="false">FALSE()</f>
        <v>0</v>
      </c>
      <c r="AL117" s="0" t="s">
        <v>67</v>
      </c>
      <c r="AM117" s="0" t="n">
        <v>0.8993</v>
      </c>
      <c r="AN117" s="0" t="n">
        <v>-0.8888</v>
      </c>
      <c r="AO117" s="0" t="n">
        <v>1.8092</v>
      </c>
      <c r="AP117" s="0" t="n">
        <v>-1.7671</v>
      </c>
      <c r="AQ117" s="0" t="n">
        <v>3.6607</v>
      </c>
      <c r="AR117" s="0" t="n">
        <v>-3.4919</v>
      </c>
    </row>
    <row r="118" customFormat="false" ht="15" hidden="false" customHeight="false" outlineLevel="0" collapsed="false">
      <c r="A118" s="0" t="s">
        <v>549</v>
      </c>
      <c r="B118" s="0" t="s">
        <v>550</v>
      </c>
      <c r="C118" s="0" t="s">
        <v>551</v>
      </c>
      <c r="D118" s="0" t="s">
        <v>536</v>
      </c>
      <c r="E118" s="0" t="s">
        <v>520</v>
      </c>
      <c r="F118" s="0" t="s">
        <v>61</v>
      </c>
      <c r="G118" s="0" t="n">
        <v>100</v>
      </c>
      <c r="H118" s="0" t="n">
        <v>0.0783</v>
      </c>
      <c r="I118" s="0" t="n">
        <v>2</v>
      </c>
      <c r="J118" s="0" t="s">
        <v>62</v>
      </c>
      <c r="K118" s="0" t="s">
        <v>552</v>
      </c>
      <c r="L118" s="0" t="s">
        <v>553</v>
      </c>
      <c r="M118" s="0" t="s">
        <v>65</v>
      </c>
      <c r="N118" s="0" t="n">
        <v>0.9418</v>
      </c>
      <c r="O118" s="0" t="n">
        <v>2</v>
      </c>
      <c r="P118" s="0" t="n">
        <v>0.0837</v>
      </c>
      <c r="Q118" s="0" t="n">
        <v>99.7408</v>
      </c>
      <c r="R118" s="0" t="n">
        <v>1.5982</v>
      </c>
      <c r="S118" s="0" t="n">
        <v>101.2007</v>
      </c>
      <c r="T118" s="0" t="n">
        <v>0.5</v>
      </c>
      <c r="U118" s="0" t="n">
        <v>0.4799</v>
      </c>
      <c r="V118" s="0" t="n">
        <v>0.4606</v>
      </c>
      <c r="W118" s="0" t="n">
        <v>0.0048</v>
      </c>
      <c r="X118" s="0" t="n">
        <v>0.4837</v>
      </c>
      <c r="Y118" s="0" t="n">
        <v>0.3946</v>
      </c>
      <c r="Z118" s="0" t="n">
        <v>66</v>
      </c>
      <c r="AA118" s="0" t="n">
        <v>48</v>
      </c>
      <c r="AB118" s="0" t="n">
        <v>72</v>
      </c>
      <c r="AC118" s="0" t="s">
        <v>173</v>
      </c>
      <c r="AD118" s="0" t="n">
        <v>20000</v>
      </c>
      <c r="AE118" s="0" t="n">
        <v>19948.16</v>
      </c>
      <c r="AF118" s="0" t="n">
        <v>19948.16</v>
      </c>
      <c r="AG118" s="0" t="n">
        <v>0.000622</v>
      </c>
      <c r="AH118" s="4" t="b">
        <f aca="false">TRUE()</f>
        <v>1</v>
      </c>
      <c r="AI118" s="0" t="s">
        <v>554</v>
      </c>
      <c r="AJ118" s="4" t="b">
        <f aca="false">FALSE()</f>
        <v>0</v>
      </c>
      <c r="AK118" s="4" t="b">
        <f aca="false">FALSE()</f>
        <v>0</v>
      </c>
      <c r="AL118" s="0" t="s">
        <v>67</v>
      </c>
      <c r="AM118" s="0" t="n">
        <v>0.2399</v>
      </c>
      <c r="AN118" s="0" t="n">
        <v>-0.2388</v>
      </c>
      <c r="AO118" s="0" t="n">
        <v>0.481</v>
      </c>
      <c r="AP118" s="0" t="n">
        <v>-0.4764</v>
      </c>
      <c r="AQ118" s="0" t="n">
        <v>0.9665</v>
      </c>
      <c r="AR118" s="0" t="n">
        <v>-0.9481</v>
      </c>
    </row>
    <row r="119" customFormat="false" ht="15" hidden="false" customHeight="false" outlineLevel="0" collapsed="false">
      <c r="A119" s="0" t="s">
        <v>555</v>
      </c>
      <c r="B119" s="0" t="s">
        <v>556</v>
      </c>
      <c r="C119" s="0" t="s">
        <v>546</v>
      </c>
      <c r="D119" s="0" t="s">
        <v>519</v>
      </c>
      <c r="E119" s="0" t="s">
        <v>520</v>
      </c>
      <c r="F119" s="0" t="s">
        <v>61</v>
      </c>
      <c r="G119" s="0" t="n">
        <v>100</v>
      </c>
      <c r="H119" s="0" t="n">
        <v>0.0775</v>
      </c>
      <c r="I119" s="0" t="n">
        <v>2</v>
      </c>
      <c r="J119" s="0" t="s">
        <v>62</v>
      </c>
      <c r="K119" s="0" t="s">
        <v>557</v>
      </c>
      <c r="L119" s="0" t="s">
        <v>558</v>
      </c>
      <c r="M119" s="0" t="s">
        <v>65</v>
      </c>
      <c r="N119" s="0" t="n">
        <v>4.3587</v>
      </c>
      <c r="O119" s="0" t="n">
        <v>8</v>
      </c>
      <c r="P119" s="0" t="n">
        <v>0.0869</v>
      </c>
      <c r="Q119" s="0" t="n">
        <v>96.8802</v>
      </c>
      <c r="R119" s="0" t="n">
        <v>0.2577</v>
      </c>
      <c r="S119" s="0" t="n">
        <v>98.547</v>
      </c>
      <c r="T119" s="0" t="n">
        <v>3.5058</v>
      </c>
      <c r="U119" s="0" t="n">
        <v>3.3598</v>
      </c>
      <c r="V119" s="0" t="n">
        <v>13.837</v>
      </c>
      <c r="W119" s="0" t="n">
        <v>0.0325</v>
      </c>
      <c r="X119" s="0" t="n">
        <v>3.2317</v>
      </c>
      <c r="Y119" s="0" t="n">
        <v>13.8222</v>
      </c>
      <c r="Z119" s="0" t="n">
        <v>44</v>
      </c>
      <c r="AA119" s="0" t="n">
        <v>17</v>
      </c>
      <c r="AB119" s="0" t="n">
        <v>51</v>
      </c>
      <c r="AC119" s="0" t="s">
        <v>230</v>
      </c>
      <c r="AD119" s="0" t="n">
        <v>50000</v>
      </c>
      <c r="AE119" s="0" t="n">
        <v>48440.1</v>
      </c>
      <c r="AF119" s="0" t="n">
        <v>48440.1</v>
      </c>
      <c r="AG119" s="0" t="n">
        <v>0.001511</v>
      </c>
      <c r="AH119" s="4" t="b">
        <f aca="false">TRUE()</f>
        <v>1</v>
      </c>
      <c r="AI119" s="0" t="s">
        <v>559</v>
      </c>
      <c r="AJ119" s="4" t="b">
        <f aca="false">FALSE()</f>
        <v>0</v>
      </c>
      <c r="AK119" s="4" t="b">
        <f aca="false">FALSE()</f>
        <v>0</v>
      </c>
      <c r="AL119" s="0" t="s">
        <v>67</v>
      </c>
      <c r="AM119" s="0" t="n">
        <v>1.6442</v>
      </c>
      <c r="AN119" s="0" t="n">
        <v>-1.6107</v>
      </c>
      <c r="AO119" s="0" t="n">
        <v>3.322</v>
      </c>
      <c r="AP119" s="0" t="n">
        <v>-3.188</v>
      </c>
      <c r="AQ119" s="0" t="n">
        <v>6.7781</v>
      </c>
      <c r="AR119" s="0" t="n">
        <v>-6.2419</v>
      </c>
    </row>
    <row r="120" customFormat="false" ht="15" hidden="false" customHeight="false" outlineLevel="0" collapsed="false">
      <c r="A120" s="0" t="s">
        <v>560</v>
      </c>
      <c r="B120" s="0" t="s">
        <v>561</v>
      </c>
      <c r="C120" s="0" t="s">
        <v>562</v>
      </c>
      <c r="D120" s="0" t="s">
        <v>519</v>
      </c>
      <c r="E120" s="0" t="s">
        <v>520</v>
      </c>
      <c r="F120" s="0" t="s">
        <v>61</v>
      </c>
      <c r="G120" s="0" t="n">
        <v>100</v>
      </c>
      <c r="H120" s="0" t="n">
        <v>0.075</v>
      </c>
      <c r="I120" s="0" t="n">
        <v>2</v>
      </c>
      <c r="J120" s="0" t="s">
        <v>62</v>
      </c>
      <c r="K120" s="0" t="s">
        <v>563</v>
      </c>
      <c r="L120" s="0" t="s">
        <v>564</v>
      </c>
      <c r="M120" s="0" t="s">
        <v>65</v>
      </c>
      <c r="N120" s="0" t="n">
        <v>5.5661</v>
      </c>
      <c r="O120" s="0" t="n">
        <v>7</v>
      </c>
      <c r="P120" s="0" t="n">
        <v>0.0775</v>
      </c>
      <c r="Q120" s="0" t="n">
        <v>98.8975</v>
      </c>
      <c r="R120" s="0" t="n">
        <v>1.153</v>
      </c>
      <c r="S120" s="0" t="n">
        <v>100.6529</v>
      </c>
      <c r="T120" s="0" t="n">
        <v>4.6005</v>
      </c>
      <c r="U120" s="0" t="n">
        <v>4.4289</v>
      </c>
      <c r="V120" s="0" t="n">
        <v>24.0074</v>
      </c>
      <c r="W120" s="0" t="n">
        <v>0.0438</v>
      </c>
      <c r="X120" s="0" t="n">
        <v>4.6012</v>
      </c>
      <c r="Y120" s="0" t="n">
        <v>21.273</v>
      </c>
      <c r="Z120" s="0" t="n">
        <v>68</v>
      </c>
      <c r="AA120" s="0" t="n">
        <v>45</v>
      </c>
      <c r="AB120" s="0" t="n">
        <v>65</v>
      </c>
      <c r="AC120" s="0" t="s">
        <v>77</v>
      </c>
      <c r="AD120" s="0" t="n">
        <v>200000</v>
      </c>
      <c r="AE120" s="0" t="n">
        <v>197795</v>
      </c>
      <c r="AF120" s="0" t="n">
        <v>197795</v>
      </c>
      <c r="AG120" s="0" t="n">
        <v>0.00617</v>
      </c>
      <c r="AH120" s="4" t="b">
        <f aca="false">TRUE()</f>
        <v>1</v>
      </c>
      <c r="AI120" s="0" t="s">
        <v>565</v>
      </c>
      <c r="AJ120" s="4" t="b">
        <f aca="false">FALSE()</f>
        <v>0</v>
      </c>
      <c r="AK120" s="4" t="b">
        <f aca="false">FALSE()</f>
        <v>0</v>
      </c>
      <c r="AL120" s="0" t="s">
        <v>67</v>
      </c>
      <c r="AM120" s="0" t="n">
        <v>2.2197</v>
      </c>
      <c r="AN120" s="0" t="n">
        <v>-2.1604</v>
      </c>
      <c r="AO120" s="0" t="n">
        <v>4.4988</v>
      </c>
      <c r="AP120" s="0" t="n">
        <v>-4.2614</v>
      </c>
      <c r="AQ120" s="0" t="n">
        <v>9.235</v>
      </c>
      <c r="AR120" s="0" t="n">
        <v>-8.2853</v>
      </c>
    </row>
    <row r="121" customFormat="false" ht="15" hidden="false" customHeight="false" outlineLevel="0" collapsed="false">
      <c r="A121" s="0" t="s">
        <v>566</v>
      </c>
      <c r="B121" s="0" t="s">
        <v>567</v>
      </c>
      <c r="C121" s="0" t="s">
        <v>551</v>
      </c>
      <c r="D121" s="0" t="s">
        <v>536</v>
      </c>
      <c r="E121" s="0" t="s">
        <v>520</v>
      </c>
      <c r="F121" s="0" t="s">
        <v>61</v>
      </c>
      <c r="G121" s="0" t="n">
        <v>100</v>
      </c>
      <c r="H121" s="0" t="n">
        <v>0.0743</v>
      </c>
      <c r="I121" s="0" t="n">
        <v>2</v>
      </c>
      <c r="J121" s="0" t="s">
        <v>62</v>
      </c>
      <c r="K121" s="0" t="s">
        <v>568</v>
      </c>
      <c r="L121" s="0" t="s">
        <v>569</v>
      </c>
      <c r="M121" s="0" t="s">
        <v>65</v>
      </c>
      <c r="N121" s="0" t="n">
        <v>1.3607</v>
      </c>
      <c r="O121" s="0" t="n">
        <v>2</v>
      </c>
      <c r="P121" s="0" t="n">
        <v>0.0879</v>
      </c>
      <c r="Q121" s="0" t="n">
        <v>98.7247</v>
      </c>
      <c r="R121" s="0" t="n">
        <v>1.0701</v>
      </c>
      <c r="S121" s="0" t="n">
        <v>99.7974</v>
      </c>
      <c r="T121" s="0" t="n">
        <v>0.982</v>
      </c>
      <c r="U121" s="0" t="n">
        <v>0.9407</v>
      </c>
      <c r="V121" s="0" t="n">
        <v>1.3433</v>
      </c>
      <c r="W121" s="0" t="n">
        <v>0.0093</v>
      </c>
      <c r="X121" s="0" t="n">
        <v>0.9407</v>
      </c>
      <c r="Y121" s="0" t="n">
        <v>1.3433</v>
      </c>
      <c r="Z121" s="0" t="n">
        <v>72</v>
      </c>
      <c r="AA121" s="0" t="n">
        <v>72</v>
      </c>
      <c r="AB121" s="0" t="n">
        <v>77</v>
      </c>
      <c r="AC121" s="0" t="s">
        <v>91</v>
      </c>
      <c r="AD121" s="0" t="n">
        <v>10000</v>
      </c>
      <c r="AE121" s="0" t="n">
        <v>9872.47</v>
      </c>
      <c r="AF121" s="0" t="n">
        <v>9872.47</v>
      </c>
      <c r="AG121" s="0" t="n">
        <v>0.000308</v>
      </c>
      <c r="AH121" s="4" t="b">
        <f aca="false">FALSE()</f>
        <v>0</v>
      </c>
      <c r="AJ121" s="4" t="b">
        <f aca="false">FALSE()</f>
        <v>0</v>
      </c>
      <c r="AK121" s="4" t="b">
        <f aca="false">FALSE()</f>
        <v>0</v>
      </c>
      <c r="AL121" s="0" t="s">
        <v>67</v>
      </c>
      <c r="AM121" s="0" t="n">
        <v>0.466</v>
      </c>
      <c r="AN121" s="0" t="n">
        <v>-0.4627</v>
      </c>
      <c r="AO121" s="0" t="n">
        <v>0.9353</v>
      </c>
      <c r="AP121" s="0" t="n">
        <v>-0.9221</v>
      </c>
      <c r="AQ121" s="0" t="n">
        <v>1.8839</v>
      </c>
      <c r="AR121" s="0" t="n">
        <v>-1.8309</v>
      </c>
    </row>
    <row r="122" customFormat="false" ht="15" hidden="false" customHeight="false" outlineLevel="0" collapsed="false">
      <c r="A122" s="0" t="s">
        <v>570</v>
      </c>
      <c r="B122" s="0" t="s">
        <v>571</v>
      </c>
      <c r="C122" s="0" t="s">
        <v>518</v>
      </c>
      <c r="D122" s="0" t="s">
        <v>526</v>
      </c>
      <c r="E122" s="0" t="s">
        <v>520</v>
      </c>
      <c r="F122" s="0" t="s">
        <v>61</v>
      </c>
      <c r="G122" s="0" t="n">
        <v>100</v>
      </c>
      <c r="H122" s="0" t="n">
        <v>0.0825</v>
      </c>
      <c r="I122" s="0" t="n">
        <v>2</v>
      </c>
      <c r="J122" s="0" t="s">
        <v>62</v>
      </c>
      <c r="K122" s="0" t="s">
        <v>572</v>
      </c>
      <c r="L122" s="0" t="s">
        <v>573</v>
      </c>
      <c r="M122" s="0" t="s">
        <v>65</v>
      </c>
      <c r="N122" s="0" t="n">
        <v>3.6085</v>
      </c>
      <c r="O122" s="0" t="n">
        <v>8</v>
      </c>
      <c r="P122" s="0" t="n">
        <v>0.0756</v>
      </c>
      <c r="Q122" s="0" t="n">
        <v>102.0876</v>
      </c>
      <c r="R122" s="0" t="n">
        <v>0.7861</v>
      </c>
      <c r="S122" s="0" t="n">
        <v>103.1693</v>
      </c>
      <c r="T122" s="0" t="n">
        <v>3.1151</v>
      </c>
      <c r="U122" s="0" t="n">
        <v>3.0016</v>
      </c>
      <c r="V122" s="0" t="n">
        <v>11.1073</v>
      </c>
      <c r="W122" s="0" t="n">
        <v>0.0306</v>
      </c>
      <c r="X122" s="0" t="n">
        <v>3.0016</v>
      </c>
      <c r="Y122" s="0" t="n">
        <v>11.1073</v>
      </c>
      <c r="Z122" s="0" t="n">
        <v>80</v>
      </c>
      <c r="AA122" s="0" t="n">
        <v>80</v>
      </c>
      <c r="AB122" s="0" t="n">
        <v>88</v>
      </c>
      <c r="AC122" s="0" t="s">
        <v>230</v>
      </c>
      <c r="AD122" s="0" t="n">
        <v>20000</v>
      </c>
      <c r="AE122" s="0" t="n">
        <v>20417.52</v>
      </c>
      <c r="AF122" s="0" t="n">
        <v>20417.52</v>
      </c>
      <c r="AG122" s="0" t="n">
        <v>0.000637</v>
      </c>
      <c r="AH122" s="4" t="b">
        <f aca="false">FALSE()</f>
        <v>0</v>
      </c>
      <c r="AJ122" s="4" t="b">
        <f aca="false">FALSE()</f>
        <v>0</v>
      </c>
      <c r="AK122" s="4" t="b">
        <f aca="false">FALSE()</f>
        <v>0</v>
      </c>
      <c r="AL122" s="0" t="s">
        <v>67</v>
      </c>
      <c r="AM122" s="0" t="n">
        <v>1.5463</v>
      </c>
      <c r="AN122" s="0" t="n">
        <v>-1.518</v>
      </c>
      <c r="AO122" s="0" t="n">
        <v>3.121</v>
      </c>
      <c r="AP122" s="0" t="n">
        <v>-3.0076</v>
      </c>
      <c r="AQ122" s="0" t="n">
        <v>6.3553</v>
      </c>
      <c r="AR122" s="0" t="n">
        <v>-5.9017</v>
      </c>
    </row>
    <row r="123" customFormat="false" ht="15" hidden="false" customHeight="false" outlineLevel="0" collapsed="false">
      <c r="A123" s="0" t="s">
        <v>574</v>
      </c>
      <c r="B123" s="0" t="s">
        <v>575</v>
      </c>
      <c r="C123" s="0" t="s">
        <v>576</v>
      </c>
      <c r="D123" s="0" t="s">
        <v>519</v>
      </c>
      <c r="E123" s="0" t="s">
        <v>520</v>
      </c>
      <c r="F123" s="0" t="s">
        <v>61</v>
      </c>
      <c r="G123" s="0" t="n">
        <v>100</v>
      </c>
      <c r="H123" s="0" t="n">
        <v>0.0883</v>
      </c>
      <c r="I123" s="0" t="n">
        <v>2</v>
      </c>
      <c r="J123" s="0" t="s">
        <v>62</v>
      </c>
      <c r="K123" s="0" t="s">
        <v>577</v>
      </c>
      <c r="L123" s="0" t="s">
        <v>578</v>
      </c>
      <c r="M123" s="0" t="s">
        <v>65</v>
      </c>
      <c r="N123" s="0" t="n">
        <v>5.7823</v>
      </c>
      <c r="O123" s="0" t="n">
        <v>10</v>
      </c>
      <c r="P123" s="0" t="n">
        <v>0.0804</v>
      </c>
      <c r="Q123" s="0" t="n">
        <v>103.4567</v>
      </c>
      <c r="R123" s="0" t="n">
        <v>0.5629</v>
      </c>
      <c r="S123" s="0" t="n">
        <v>104.1858</v>
      </c>
      <c r="T123" s="0" t="n">
        <v>4.493</v>
      </c>
      <c r="U123" s="0" t="n">
        <v>4.3194</v>
      </c>
      <c r="V123" s="0" t="n">
        <v>23.1603</v>
      </c>
      <c r="W123" s="0" t="n">
        <v>0.0447</v>
      </c>
      <c r="X123" s="0" t="n">
        <v>4.3194</v>
      </c>
      <c r="Y123" s="0" t="n">
        <v>23.1603</v>
      </c>
      <c r="Z123" s="0" t="n">
        <v>28</v>
      </c>
      <c r="AA123" s="0" t="n">
        <v>28</v>
      </c>
      <c r="AB123" s="0" t="n">
        <v>25</v>
      </c>
      <c r="AC123" s="0" t="s">
        <v>77</v>
      </c>
      <c r="AD123" s="0" t="n">
        <v>100000</v>
      </c>
      <c r="AE123" s="0" t="n">
        <v>103456.7</v>
      </c>
      <c r="AF123" s="0" t="n">
        <v>103456.7</v>
      </c>
      <c r="AG123" s="0" t="n">
        <v>0.003227</v>
      </c>
      <c r="AH123" s="4" t="b">
        <f aca="false">FALSE()</f>
        <v>0</v>
      </c>
      <c r="AJ123" s="4" t="b">
        <f aca="false">FALSE()</f>
        <v>0</v>
      </c>
      <c r="AK123" s="4" t="b">
        <f aca="false">FALSE()</f>
        <v>0</v>
      </c>
      <c r="AL123" s="0" t="s">
        <v>67</v>
      </c>
      <c r="AM123" s="0" t="n">
        <v>2.2643</v>
      </c>
      <c r="AN123" s="0" t="n">
        <v>-2.2044</v>
      </c>
      <c r="AO123" s="0" t="n">
        <v>4.5885</v>
      </c>
      <c r="AP123" s="0" t="n">
        <v>-4.3489</v>
      </c>
      <c r="AQ123" s="0" t="n">
        <v>9.4166</v>
      </c>
      <c r="AR123" s="0" t="n">
        <v>-8.4582</v>
      </c>
    </row>
    <row r="124" customFormat="false" ht="15" hidden="false" customHeight="false" outlineLevel="0" collapsed="false">
      <c r="A124" s="0" t="s">
        <v>579</v>
      </c>
      <c r="B124" s="0" t="s">
        <v>580</v>
      </c>
      <c r="C124" s="0" t="s">
        <v>581</v>
      </c>
      <c r="D124" s="0" t="s">
        <v>526</v>
      </c>
      <c r="E124" s="0" t="s">
        <v>520</v>
      </c>
      <c r="F124" s="0" t="s">
        <v>61</v>
      </c>
      <c r="G124" s="0" t="n">
        <v>100</v>
      </c>
      <c r="H124" s="0" t="n">
        <v>0.0738</v>
      </c>
      <c r="I124" s="0" t="n">
        <v>2</v>
      </c>
      <c r="J124" s="0" t="s">
        <v>62</v>
      </c>
      <c r="K124" s="0" t="s">
        <v>582</v>
      </c>
      <c r="L124" s="0" t="s">
        <v>583</v>
      </c>
      <c r="M124" s="0" t="s">
        <v>65</v>
      </c>
      <c r="N124" s="0" t="n">
        <v>7.5428</v>
      </c>
      <c r="O124" s="0" t="n">
        <v>10</v>
      </c>
      <c r="P124" s="0" t="n">
        <v>0.0777</v>
      </c>
      <c r="Q124" s="0" t="n">
        <v>97.8144</v>
      </c>
      <c r="R124" s="0" t="n">
        <v>0.0283</v>
      </c>
      <c r="S124" s="0" t="n">
        <v>99.5435</v>
      </c>
      <c r="T124" s="0" t="n">
        <v>5.8705</v>
      </c>
      <c r="U124" s="0" t="n">
        <v>5.651</v>
      </c>
      <c r="V124" s="0" t="n">
        <v>39.8104</v>
      </c>
      <c r="W124" s="0" t="n">
        <v>0.0553</v>
      </c>
      <c r="X124" s="0" t="n">
        <v>5.651</v>
      </c>
      <c r="Y124" s="0" t="n">
        <v>39.8104</v>
      </c>
      <c r="Z124" s="0" t="n">
        <v>39</v>
      </c>
      <c r="AA124" s="0" t="n">
        <v>39</v>
      </c>
      <c r="AB124" s="0" t="n">
        <v>37</v>
      </c>
      <c r="AC124" s="0" t="s">
        <v>210</v>
      </c>
      <c r="AD124" s="0" t="n">
        <v>20000</v>
      </c>
      <c r="AE124" s="0" t="n">
        <v>19562.88</v>
      </c>
      <c r="AF124" s="0" t="n">
        <v>19562.88</v>
      </c>
      <c r="AG124" s="0" t="n">
        <v>0.00061</v>
      </c>
      <c r="AH124" s="4" t="b">
        <f aca="false">FALSE()</f>
        <v>0</v>
      </c>
      <c r="AJ124" s="4" t="b">
        <f aca="false">FALSE()</f>
        <v>0</v>
      </c>
      <c r="AK124" s="4" t="b">
        <f aca="false">FALSE()</f>
        <v>0</v>
      </c>
      <c r="AL124" s="0" t="s">
        <v>67</v>
      </c>
      <c r="AM124" s="0" t="n">
        <v>2.8124</v>
      </c>
      <c r="AN124" s="0" t="n">
        <v>-2.7151</v>
      </c>
      <c r="AO124" s="0" t="n">
        <v>5.7222</v>
      </c>
      <c r="AP124" s="0" t="n">
        <v>-5.3328</v>
      </c>
      <c r="AQ124" s="0" t="n">
        <v>11.8338</v>
      </c>
      <c r="AR124" s="0" t="n">
        <v>-10.2762</v>
      </c>
    </row>
    <row r="125" customFormat="false" ht="15" hidden="false" customHeight="false" outlineLevel="0" collapsed="false">
      <c r="A125" s="0" t="s">
        <v>584</v>
      </c>
      <c r="B125" s="0" t="s">
        <v>585</v>
      </c>
      <c r="C125" s="0" t="s">
        <v>546</v>
      </c>
      <c r="D125" s="0" t="s">
        <v>526</v>
      </c>
      <c r="E125" s="0" t="s">
        <v>520</v>
      </c>
      <c r="F125" s="0" t="s">
        <v>61</v>
      </c>
      <c r="G125" s="0" t="n">
        <v>100</v>
      </c>
      <c r="H125" s="0" t="n">
        <v>0.0807</v>
      </c>
      <c r="I125" s="0" t="n">
        <v>2</v>
      </c>
      <c r="J125" s="0" t="s">
        <v>62</v>
      </c>
      <c r="K125" s="0" t="s">
        <v>586</v>
      </c>
      <c r="L125" s="0" t="s">
        <v>587</v>
      </c>
      <c r="M125" s="0" t="s">
        <v>65</v>
      </c>
      <c r="N125" s="0" t="n">
        <v>4.6489</v>
      </c>
      <c r="O125" s="0" t="n">
        <v>7</v>
      </c>
      <c r="P125" s="0" t="n">
        <v>0.0797</v>
      </c>
      <c r="Q125" s="0" t="n">
        <v>100.372</v>
      </c>
      <c r="R125" s="0" t="n">
        <v>1.5366</v>
      </c>
      <c r="S125" s="0" t="n">
        <v>101.0181</v>
      </c>
      <c r="T125" s="0" t="n">
        <v>3.8629</v>
      </c>
      <c r="U125" s="0" t="n">
        <v>3.7149</v>
      </c>
      <c r="V125" s="0" t="n">
        <v>16.9243</v>
      </c>
      <c r="W125" s="0" t="n">
        <v>0.0373</v>
      </c>
      <c r="X125" s="0" t="n">
        <v>3.6046</v>
      </c>
      <c r="Y125" s="0" t="n">
        <v>15.1801</v>
      </c>
      <c r="Z125" s="0" t="n">
        <v>49</v>
      </c>
      <c r="AA125" s="0" t="n">
        <v>24</v>
      </c>
      <c r="AB125" s="0" t="n">
        <v>45</v>
      </c>
      <c r="AC125" s="0" t="s">
        <v>230</v>
      </c>
      <c r="AD125" s="0" t="n">
        <v>50000</v>
      </c>
      <c r="AE125" s="0" t="n">
        <v>50186</v>
      </c>
      <c r="AF125" s="0" t="n">
        <v>50186</v>
      </c>
      <c r="AG125" s="0" t="n">
        <v>0.001565</v>
      </c>
      <c r="AH125" s="4" t="b">
        <f aca="false">TRUE()</f>
        <v>1</v>
      </c>
      <c r="AI125" s="0" t="s">
        <v>588</v>
      </c>
      <c r="AJ125" s="4" t="b">
        <f aca="false">FALSE()</f>
        <v>0</v>
      </c>
      <c r="AK125" s="4" t="b">
        <f aca="false">FALSE()</f>
        <v>0</v>
      </c>
      <c r="AL125" s="0" t="s">
        <v>67</v>
      </c>
      <c r="AM125" s="0" t="n">
        <v>1.8856</v>
      </c>
      <c r="AN125" s="0" t="n">
        <v>-1.8431</v>
      </c>
      <c r="AO125" s="0" t="n">
        <v>3.8137</v>
      </c>
      <c r="AP125" s="0" t="n">
        <v>-3.6438</v>
      </c>
      <c r="AQ125" s="0" t="n">
        <v>7.7972</v>
      </c>
      <c r="AR125" s="0" t="n">
        <v>-7.1177</v>
      </c>
    </row>
    <row r="126" customFormat="false" ht="15" hidden="false" customHeight="false" outlineLevel="0" collapsed="false">
      <c r="A126" s="0" t="s">
        <v>589</v>
      </c>
      <c r="B126" s="0" t="s">
        <v>590</v>
      </c>
      <c r="C126" s="0" t="s">
        <v>591</v>
      </c>
      <c r="D126" s="0" t="s">
        <v>519</v>
      </c>
      <c r="E126" s="0" t="s">
        <v>520</v>
      </c>
      <c r="F126" s="0" t="s">
        <v>61</v>
      </c>
      <c r="G126" s="0" t="n">
        <v>100</v>
      </c>
      <c r="H126" s="0" t="n">
        <v>0.0766</v>
      </c>
      <c r="I126" s="0" t="n">
        <v>2</v>
      </c>
      <c r="J126" s="0" t="s">
        <v>62</v>
      </c>
      <c r="K126" s="0" t="s">
        <v>592</v>
      </c>
      <c r="L126" s="0" t="s">
        <v>593</v>
      </c>
      <c r="M126" s="0" t="s">
        <v>65</v>
      </c>
      <c r="N126" s="0" t="n">
        <v>3.5099</v>
      </c>
      <c r="O126" s="0" t="n">
        <v>8</v>
      </c>
      <c r="P126" s="0" t="n">
        <v>0.0782</v>
      </c>
      <c r="Q126" s="0" t="n">
        <v>99.5182</v>
      </c>
      <c r="R126" s="0" t="n">
        <v>0.6464</v>
      </c>
      <c r="S126" s="0" t="n">
        <v>100.98</v>
      </c>
      <c r="T126" s="0" t="n">
        <v>3.1346</v>
      </c>
      <c r="U126" s="0" t="n">
        <v>3.0166</v>
      </c>
      <c r="V126" s="0" t="n">
        <v>11.1755</v>
      </c>
      <c r="W126" s="0" t="n">
        <v>0.03</v>
      </c>
      <c r="X126" s="0" t="n">
        <v>3.0166</v>
      </c>
      <c r="Y126" s="0" t="n">
        <v>11.1755</v>
      </c>
      <c r="Z126" s="0" t="n">
        <v>61</v>
      </c>
      <c r="AA126" s="0" t="n">
        <v>61</v>
      </c>
      <c r="AB126" s="0" t="n">
        <v>71</v>
      </c>
      <c r="AC126" s="0" t="s">
        <v>230</v>
      </c>
      <c r="AD126" s="0" t="n">
        <v>100000</v>
      </c>
      <c r="AE126" s="0" t="n">
        <v>99518.2</v>
      </c>
      <c r="AF126" s="0" t="n">
        <v>99518.2</v>
      </c>
      <c r="AG126" s="0" t="n">
        <v>0.003104</v>
      </c>
      <c r="AH126" s="4" t="b">
        <f aca="false">FALSE()</f>
        <v>0</v>
      </c>
      <c r="AJ126" s="4" t="b">
        <f aca="false">FALSE()</f>
        <v>0</v>
      </c>
      <c r="AK126" s="4" t="b">
        <f aca="false">FALSE()</f>
        <v>0</v>
      </c>
      <c r="AL126" s="0" t="s">
        <v>67</v>
      </c>
      <c r="AM126" s="0" t="n">
        <v>1.5149</v>
      </c>
      <c r="AN126" s="0" t="n">
        <v>-1.4871</v>
      </c>
      <c r="AO126" s="0" t="n">
        <v>3.0577</v>
      </c>
      <c r="AP126" s="0" t="n">
        <v>-2.9465</v>
      </c>
      <c r="AQ126" s="0" t="n">
        <v>6.2266</v>
      </c>
      <c r="AR126" s="0" t="n">
        <v>-5.7817</v>
      </c>
    </row>
    <row r="127" customFormat="false" ht="15" hidden="false" customHeight="false" outlineLevel="0" collapsed="false">
      <c r="A127" s="0" t="s">
        <v>594</v>
      </c>
      <c r="B127" s="0" t="s">
        <v>595</v>
      </c>
      <c r="C127" s="0" t="s">
        <v>546</v>
      </c>
      <c r="D127" s="0" t="s">
        <v>536</v>
      </c>
      <c r="E127" s="0" t="s">
        <v>520</v>
      </c>
      <c r="F127" s="0" t="s">
        <v>61</v>
      </c>
      <c r="G127" s="0" t="n">
        <v>100</v>
      </c>
      <c r="H127" s="0" t="n">
        <v>0.0898</v>
      </c>
      <c r="I127" s="0" t="n">
        <v>2</v>
      </c>
      <c r="J127" s="0" t="s">
        <v>62</v>
      </c>
      <c r="K127" s="0" t="s">
        <v>596</v>
      </c>
      <c r="L127" s="0" t="s">
        <v>597</v>
      </c>
      <c r="M127" s="0" t="s">
        <v>65</v>
      </c>
      <c r="N127" s="0" t="n">
        <v>0.9774</v>
      </c>
      <c r="O127" s="0" t="n">
        <v>2</v>
      </c>
      <c r="P127" s="0" t="n">
        <v>0.0859</v>
      </c>
      <c r="Q127" s="0" t="n">
        <v>100.187</v>
      </c>
      <c r="R127" s="0" t="n">
        <v>0.1089</v>
      </c>
      <c r="S127" s="0" t="n">
        <v>100.2013</v>
      </c>
      <c r="T127" s="0" t="n">
        <v>0.5</v>
      </c>
      <c r="U127" s="0" t="n">
        <v>0.4794</v>
      </c>
      <c r="V127" s="0" t="n">
        <v>0.4597</v>
      </c>
      <c r="W127" s="0" t="n">
        <v>0.0048</v>
      </c>
      <c r="X127" s="0" t="n">
        <v>0.4794</v>
      </c>
      <c r="Y127" s="0" t="n">
        <v>0.4597</v>
      </c>
      <c r="Z127" s="0" t="n">
        <v>80</v>
      </c>
      <c r="AA127" s="0" t="n">
        <v>80</v>
      </c>
      <c r="AB127" s="0" t="n">
        <v>79</v>
      </c>
      <c r="AC127" s="0" t="s">
        <v>173</v>
      </c>
      <c r="AD127" s="0" t="n">
        <v>5000</v>
      </c>
      <c r="AE127" s="0" t="n">
        <v>5009.35</v>
      </c>
      <c r="AF127" s="0" t="n">
        <v>5009.35</v>
      </c>
      <c r="AG127" s="0" t="n">
        <v>0.000156</v>
      </c>
      <c r="AH127" s="4" t="b">
        <f aca="false">FALSE()</f>
        <v>0</v>
      </c>
      <c r="AJ127" s="4" t="b">
        <f aca="false">FALSE()</f>
        <v>0</v>
      </c>
      <c r="AK127" s="4" t="b">
        <f aca="false">FALSE()</f>
        <v>0</v>
      </c>
      <c r="AL127" s="0" t="s">
        <v>67</v>
      </c>
      <c r="AM127" s="0" t="n">
        <v>0.2407</v>
      </c>
      <c r="AN127" s="0" t="n">
        <v>-0.2396</v>
      </c>
      <c r="AO127" s="0" t="n">
        <v>0.4826</v>
      </c>
      <c r="AP127" s="0" t="n">
        <v>-0.478</v>
      </c>
      <c r="AQ127" s="0" t="n">
        <v>0.9698</v>
      </c>
      <c r="AR127" s="0" t="n">
        <v>-0.9514</v>
      </c>
    </row>
    <row r="128" customFormat="false" ht="15" hidden="false" customHeight="false" outlineLevel="0" collapsed="false">
      <c r="A128" s="0" t="s">
        <v>598</v>
      </c>
      <c r="B128" s="0" t="s">
        <v>599</v>
      </c>
      <c r="C128" s="0" t="s">
        <v>600</v>
      </c>
      <c r="D128" s="0" t="s">
        <v>519</v>
      </c>
      <c r="E128" s="0" t="s">
        <v>520</v>
      </c>
      <c r="F128" s="0" t="s">
        <v>61</v>
      </c>
      <c r="G128" s="0" t="n">
        <v>100</v>
      </c>
      <c r="H128" s="0" t="n">
        <v>0.0883</v>
      </c>
      <c r="I128" s="0" t="n">
        <v>2</v>
      </c>
      <c r="J128" s="0" t="s">
        <v>62</v>
      </c>
      <c r="K128" s="0" t="s">
        <v>601</v>
      </c>
      <c r="L128" s="0" t="s">
        <v>602</v>
      </c>
      <c r="M128" s="0" t="s">
        <v>65</v>
      </c>
      <c r="N128" s="0" t="n">
        <v>8.3696</v>
      </c>
      <c r="O128" s="0" t="n">
        <v>9</v>
      </c>
      <c r="P128" s="0" t="n">
        <v>0.0819</v>
      </c>
      <c r="Q128" s="0" t="n">
        <v>103.7027</v>
      </c>
      <c r="R128" s="0" t="n">
        <v>1.1826</v>
      </c>
      <c r="S128" s="0" t="n">
        <v>104.3356</v>
      </c>
      <c r="T128" s="0" t="n">
        <v>5.944</v>
      </c>
      <c r="U128" s="0" t="n">
        <v>5.7102</v>
      </c>
      <c r="V128" s="0" t="n">
        <v>41.7331</v>
      </c>
      <c r="W128" s="0" t="n">
        <v>0.0592</v>
      </c>
      <c r="X128" s="0" t="n">
        <v>5.7115</v>
      </c>
      <c r="Y128" s="0" t="n">
        <v>39.8417</v>
      </c>
      <c r="Z128" s="0" t="n">
        <v>20</v>
      </c>
      <c r="AA128" s="0" t="n">
        <v>2</v>
      </c>
      <c r="AB128" s="0" t="n">
        <v>28</v>
      </c>
      <c r="AC128" s="0" t="s">
        <v>210</v>
      </c>
      <c r="AD128" s="0" t="n">
        <v>50000</v>
      </c>
      <c r="AE128" s="0" t="n">
        <v>51851.35</v>
      </c>
      <c r="AF128" s="0" t="n">
        <v>51851.35</v>
      </c>
      <c r="AG128" s="0" t="n">
        <v>0.001617</v>
      </c>
      <c r="AH128" s="4" t="b">
        <f aca="false">TRUE()</f>
        <v>1</v>
      </c>
      <c r="AI128" s="0" t="s">
        <v>603</v>
      </c>
      <c r="AJ128" s="4" t="b">
        <f aca="false">FALSE()</f>
        <v>0</v>
      </c>
      <c r="AK128" s="4" t="b">
        <f aca="false">FALSE()</f>
        <v>0</v>
      </c>
      <c r="AL128" s="0" t="s">
        <v>67</v>
      </c>
      <c r="AM128" s="0" t="n">
        <v>3.0149</v>
      </c>
      <c r="AN128" s="0" t="n">
        <v>-2.9067</v>
      </c>
      <c r="AO128" s="0" t="n">
        <v>6.138</v>
      </c>
      <c r="AP128" s="0" t="n">
        <v>-5.7052</v>
      </c>
      <c r="AQ128" s="0" t="n">
        <v>12.7088</v>
      </c>
      <c r="AR128" s="0" t="n">
        <v>-10.9777</v>
      </c>
    </row>
    <row r="129" customFormat="false" ht="15" hidden="false" customHeight="false" outlineLevel="0" collapsed="false">
      <c r="A129" s="0" t="s">
        <v>604</v>
      </c>
      <c r="B129" s="0" t="s">
        <v>605</v>
      </c>
      <c r="C129" s="0" t="s">
        <v>606</v>
      </c>
      <c r="D129" s="0" t="s">
        <v>519</v>
      </c>
      <c r="E129" s="0" t="s">
        <v>520</v>
      </c>
      <c r="F129" s="0" t="s">
        <v>61</v>
      </c>
      <c r="G129" s="0" t="n">
        <v>100</v>
      </c>
      <c r="H129" s="0" t="n">
        <v>0.0753</v>
      </c>
      <c r="I129" s="0" t="n">
        <v>2</v>
      </c>
      <c r="J129" s="0" t="s">
        <v>62</v>
      </c>
      <c r="K129" s="0" t="s">
        <v>607</v>
      </c>
      <c r="L129" s="0" t="s">
        <v>608</v>
      </c>
      <c r="M129" s="0" t="s">
        <v>65</v>
      </c>
      <c r="N129" s="0" t="n">
        <v>6.9432</v>
      </c>
      <c r="O129" s="0" t="n">
        <v>8</v>
      </c>
      <c r="P129" s="0" t="n">
        <v>0.0875</v>
      </c>
      <c r="Q129" s="0" t="n">
        <v>94.0481</v>
      </c>
      <c r="R129" s="0" t="n">
        <v>1.3125</v>
      </c>
      <c r="S129" s="0" t="n">
        <v>94.6128</v>
      </c>
      <c r="T129" s="0" t="n">
        <v>5.2117</v>
      </c>
      <c r="U129" s="0" t="n">
        <v>4.9932</v>
      </c>
      <c r="V129" s="0" t="n">
        <v>30.9369</v>
      </c>
      <c r="W129" s="0" t="n">
        <v>0.047</v>
      </c>
      <c r="X129" s="0" t="n">
        <v>4.9932</v>
      </c>
      <c r="Y129" s="0" t="n">
        <v>30.9369</v>
      </c>
      <c r="Z129" s="0" t="n">
        <v>56</v>
      </c>
      <c r="AA129" s="0" t="n">
        <v>56</v>
      </c>
      <c r="AB129" s="0" t="n">
        <v>53</v>
      </c>
      <c r="AC129" s="0" t="s">
        <v>77</v>
      </c>
      <c r="AD129" s="0" t="n">
        <v>50000</v>
      </c>
      <c r="AE129" s="0" t="n">
        <v>47024.05</v>
      </c>
      <c r="AF129" s="0" t="n">
        <v>47024.05</v>
      </c>
      <c r="AG129" s="0" t="n">
        <v>0.001467</v>
      </c>
      <c r="AH129" s="4" t="b">
        <f aca="false">FALSE()</f>
        <v>0</v>
      </c>
      <c r="AJ129" s="4" t="b">
        <f aca="false">FALSE()</f>
        <v>0</v>
      </c>
      <c r="AK129" s="4" t="b">
        <f aca="false">FALSE()</f>
        <v>0</v>
      </c>
      <c r="AL129" s="0" t="s">
        <v>67</v>
      </c>
      <c r="AM129" s="0" t="n">
        <v>2.3844</v>
      </c>
      <c r="AN129" s="0" t="n">
        <v>-2.3116</v>
      </c>
      <c r="AO129" s="0" t="n">
        <v>4.8415</v>
      </c>
      <c r="AP129" s="0" t="n">
        <v>-4.5505</v>
      </c>
      <c r="AQ129" s="0" t="n">
        <v>9.9739</v>
      </c>
      <c r="AR129" s="0" t="n">
        <v>-8.8101</v>
      </c>
    </row>
    <row r="130" customFormat="false" ht="15" hidden="false" customHeight="false" outlineLevel="0" collapsed="false">
      <c r="A130" s="0" t="s">
        <v>609</v>
      </c>
      <c r="B130" s="0" t="s">
        <v>610</v>
      </c>
      <c r="C130" s="0" t="s">
        <v>600</v>
      </c>
      <c r="D130" s="0" t="s">
        <v>536</v>
      </c>
      <c r="E130" s="0" t="s">
        <v>520</v>
      </c>
      <c r="F130" s="0" t="s">
        <v>61</v>
      </c>
      <c r="G130" s="0" t="n">
        <v>100</v>
      </c>
      <c r="H130" s="0" t="n">
        <v>0.0717</v>
      </c>
      <c r="I130" s="0" t="n">
        <v>2</v>
      </c>
      <c r="J130" s="0" t="s">
        <v>62</v>
      </c>
      <c r="K130" s="0" t="s">
        <v>611</v>
      </c>
      <c r="L130" s="0" t="s">
        <v>612</v>
      </c>
      <c r="M130" s="0" t="s">
        <v>65</v>
      </c>
      <c r="N130" s="0" t="n">
        <v>2.9843</v>
      </c>
      <c r="O130" s="0" t="n">
        <v>8</v>
      </c>
      <c r="P130" s="0" t="n">
        <v>0.0793</v>
      </c>
      <c r="Q130" s="0" t="n">
        <v>98.3066</v>
      </c>
      <c r="R130" s="0" t="n">
        <v>1.6476</v>
      </c>
      <c r="S130" s="0" t="n">
        <v>98.7185</v>
      </c>
      <c r="T130" s="0" t="n">
        <v>2.3312</v>
      </c>
      <c r="U130" s="0" t="n">
        <v>2.2423</v>
      </c>
      <c r="V130" s="0" t="n">
        <v>6.3171</v>
      </c>
      <c r="W130" s="0" t="n">
        <v>0.022</v>
      </c>
      <c r="X130" s="0" t="n">
        <v>2.2423</v>
      </c>
      <c r="Y130" s="0" t="n">
        <v>6.3171</v>
      </c>
      <c r="Z130" s="0" t="n">
        <v>26</v>
      </c>
      <c r="AA130" s="0" t="n">
        <v>26</v>
      </c>
      <c r="AB130" s="0" t="n">
        <v>36</v>
      </c>
      <c r="AC130" s="0" t="s">
        <v>66</v>
      </c>
      <c r="AD130" s="0" t="n">
        <v>500000</v>
      </c>
      <c r="AE130" s="0" t="n">
        <v>491533</v>
      </c>
      <c r="AF130" s="0" t="n">
        <v>491533</v>
      </c>
      <c r="AG130" s="0" t="n">
        <v>0.015332</v>
      </c>
      <c r="AH130" s="4" t="b">
        <f aca="false">FALSE()</f>
        <v>0</v>
      </c>
      <c r="AJ130" s="4" t="b">
        <f aca="false">FALSE()</f>
        <v>0</v>
      </c>
      <c r="AK130" s="4" t="b">
        <f aca="false">FALSE()</f>
        <v>0</v>
      </c>
      <c r="AL130" s="0" t="s">
        <v>67</v>
      </c>
      <c r="AM130" s="0" t="n">
        <v>1.1099</v>
      </c>
      <c r="AN130" s="0" t="n">
        <v>-1.0944</v>
      </c>
      <c r="AO130" s="0" t="n">
        <v>2.2354</v>
      </c>
      <c r="AP130" s="0" t="n">
        <v>-2.1733</v>
      </c>
      <c r="AQ130" s="0" t="n">
        <v>4.5329</v>
      </c>
      <c r="AR130" s="0" t="n">
        <v>-4.2845</v>
      </c>
    </row>
    <row r="131" customFormat="false" ht="15" hidden="false" customHeight="false" outlineLevel="0" collapsed="false">
      <c r="A131" s="0" t="s">
        <v>613</v>
      </c>
      <c r="B131" s="0" t="s">
        <v>614</v>
      </c>
      <c r="C131" s="0" t="s">
        <v>541</v>
      </c>
      <c r="D131" s="0" t="s">
        <v>519</v>
      </c>
      <c r="E131" s="0" t="s">
        <v>520</v>
      </c>
      <c r="F131" s="0" t="s">
        <v>61</v>
      </c>
      <c r="G131" s="0" t="n">
        <v>100</v>
      </c>
      <c r="H131" s="0" t="n">
        <v>0.0729</v>
      </c>
      <c r="I131" s="0" t="n">
        <v>2</v>
      </c>
      <c r="J131" s="0" t="s">
        <v>62</v>
      </c>
      <c r="K131" s="0" t="s">
        <v>615</v>
      </c>
      <c r="L131" s="0" t="s">
        <v>616</v>
      </c>
      <c r="M131" s="0" t="s">
        <v>65</v>
      </c>
      <c r="N131" s="0" t="n">
        <v>0.9993</v>
      </c>
      <c r="O131" s="0" t="n">
        <v>8</v>
      </c>
      <c r="P131" s="0" t="n">
        <v>0.0789</v>
      </c>
      <c r="Q131" s="0" t="n">
        <v>99.7114</v>
      </c>
      <c r="R131" s="0" t="n">
        <v>1.5481</v>
      </c>
      <c r="S131" s="0" t="n">
        <v>100.9453</v>
      </c>
      <c r="T131" s="0" t="n">
        <v>0.5</v>
      </c>
      <c r="U131" s="0" t="n">
        <v>0.481</v>
      </c>
      <c r="V131" s="0" t="n">
        <v>0.4628</v>
      </c>
      <c r="W131" s="0" t="n">
        <v>0.0048</v>
      </c>
      <c r="X131" s="0" t="n">
        <v>0.481</v>
      </c>
      <c r="Y131" s="0" t="n">
        <v>0.4628</v>
      </c>
      <c r="Z131" s="0" t="n">
        <v>35</v>
      </c>
      <c r="AA131" s="0" t="n">
        <v>35</v>
      </c>
      <c r="AB131" s="0" t="n">
        <v>40</v>
      </c>
      <c r="AC131" s="0" t="s">
        <v>173</v>
      </c>
      <c r="AD131" s="0" t="n">
        <v>100000</v>
      </c>
      <c r="AE131" s="0" t="n">
        <v>99711.4</v>
      </c>
      <c r="AF131" s="0" t="n">
        <v>99711.4</v>
      </c>
      <c r="AG131" s="0" t="n">
        <v>0.00311</v>
      </c>
      <c r="AH131" s="4" t="b">
        <f aca="false">FALSE()</f>
        <v>0</v>
      </c>
      <c r="AJ131" s="4" t="b">
        <f aca="false">FALSE()</f>
        <v>0</v>
      </c>
      <c r="AK131" s="4" t="b">
        <f aca="false">FALSE()</f>
        <v>0</v>
      </c>
      <c r="AL131" s="0" t="s">
        <v>67</v>
      </c>
      <c r="AM131" s="0" t="n">
        <v>0.2404</v>
      </c>
      <c r="AN131" s="0" t="n">
        <v>-0.2392</v>
      </c>
      <c r="AO131" s="0" t="n">
        <v>0.4819</v>
      </c>
      <c r="AP131" s="0" t="n">
        <v>-0.4773</v>
      </c>
      <c r="AQ131" s="0" t="n">
        <v>0.9685</v>
      </c>
      <c r="AR131" s="0" t="n">
        <v>-0.95</v>
      </c>
    </row>
    <row r="132" customFormat="false" ht="15" hidden="false" customHeight="false" outlineLevel="0" collapsed="false">
      <c r="A132" s="0" t="s">
        <v>617</v>
      </c>
      <c r="B132" s="0" t="s">
        <v>618</v>
      </c>
      <c r="C132" s="0" t="s">
        <v>576</v>
      </c>
      <c r="D132" s="0" t="s">
        <v>536</v>
      </c>
      <c r="E132" s="0" t="s">
        <v>520</v>
      </c>
      <c r="F132" s="0" t="s">
        <v>61</v>
      </c>
      <c r="G132" s="0" t="n">
        <v>100</v>
      </c>
      <c r="H132" s="0" t="n">
        <v>0.0821</v>
      </c>
      <c r="I132" s="0" t="n">
        <v>2</v>
      </c>
      <c r="J132" s="0" t="s">
        <v>62</v>
      </c>
      <c r="K132" s="0" t="s">
        <v>619</v>
      </c>
      <c r="L132" s="0" t="s">
        <v>620</v>
      </c>
      <c r="M132" s="0" t="s">
        <v>65</v>
      </c>
      <c r="N132" s="0" t="n">
        <v>0.7173</v>
      </c>
      <c r="O132" s="0" t="n">
        <v>8</v>
      </c>
      <c r="P132" s="0" t="n">
        <v>0.0792</v>
      </c>
      <c r="Q132" s="0" t="n">
        <v>100.1395</v>
      </c>
      <c r="R132" s="0" t="n">
        <v>0.9248</v>
      </c>
      <c r="S132" s="0" t="n">
        <v>100.6078</v>
      </c>
      <c r="T132" s="0" t="n">
        <v>0.5</v>
      </c>
      <c r="U132" s="0" t="n">
        <v>0.481</v>
      </c>
      <c r="V132" s="0" t="n">
        <v>0.4626</v>
      </c>
      <c r="W132" s="0" t="n">
        <v>0.0048</v>
      </c>
      <c r="X132" s="0" t="n">
        <v>0.481</v>
      </c>
      <c r="Y132" s="0" t="n">
        <v>0.4626</v>
      </c>
      <c r="Z132" s="0" t="n">
        <v>37</v>
      </c>
      <c r="AA132" s="0" t="n">
        <v>37</v>
      </c>
      <c r="AB132" s="0" t="n">
        <v>44</v>
      </c>
      <c r="AC132" s="0" t="s">
        <v>173</v>
      </c>
      <c r="AD132" s="0" t="n">
        <v>200000</v>
      </c>
      <c r="AE132" s="0" t="n">
        <v>200279</v>
      </c>
      <c r="AF132" s="0" t="n">
        <v>200279</v>
      </c>
      <c r="AG132" s="0" t="n">
        <v>0.006247</v>
      </c>
      <c r="AH132" s="4" t="b">
        <f aca="false">FALSE()</f>
        <v>0</v>
      </c>
      <c r="AJ132" s="4" t="b">
        <f aca="false">FALSE()</f>
        <v>0</v>
      </c>
      <c r="AK132" s="4" t="b">
        <f aca="false">FALSE()</f>
        <v>0</v>
      </c>
      <c r="AL132" s="0" t="s">
        <v>67</v>
      </c>
      <c r="AM132" s="0" t="n">
        <v>0.2414</v>
      </c>
      <c r="AN132" s="0" t="n">
        <v>-0.2403</v>
      </c>
      <c r="AO132" s="0" t="n">
        <v>0.484</v>
      </c>
      <c r="AP132" s="0" t="n">
        <v>-0.4794</v>
      </c>
      <c r="AQ132" s="0" t="n">
        <v>0.9726</v>
      </c>
      <c r="AR132" s="0" t="n">
        <v>-0.9541</v>
      </c>
    </row>
    <row r="133" customFormat="false" ht="15" hidden="false" customHeight="false" outlineLevel="0" collapsed="false">
      <c r="A133" s="0" t="s">
        <v>621</v>
      </c>
      <c r="B133" s="0" t="s">
        <v>622</v>
      </c>
      <c r="C133" s="0" t="s">
        <v>576</v>
      </c>
      <c r="D133" s="0" t="s">
        <v>519</v>
      </c>
      <c r="E133" s="0" t="s">
        <v>520</v>
      </c>
      <c r="F133" s="0" t="s">
        <v>61</v>
      </c>
      <c r="G133" s="0" t="n">
        <v>100</v>
      </c>
      <c r="H133" s="0" t="n">
        <v>0.0776</v>
      </c>
      <c r="I133" s="0" t="n">
        <v>2</v>
      </c>
      <c r="J133" s="0" t="s">
        <v>62</v>
      </c>
      <c r="K133" s="0" t="s">
        <v>623</v>
      </c>
      <c r="L133" s="0" t="s">
        <v>624</v>
      </c>
      <c r="M133" s="0" t="s">
        <v>65</v>
      </c>
      <c r="N133" s="0" t="n">
        <v>1.2813</v>
      </c>
      <c r="O133" s="0" t="n">
        <v>4</v>
      </c>
      <c r="P133" s="0" t="n">
        <v>0.0791</v>
      </c>
      <c r="Q133" s="0" t="n">
        <v>99.8585</v>
      </c>
      <c r="R133" s="0" t="n">
        <v>0.8628</v>
      </c>
      <c r="S133" s="0" t="n">
        <v>101.3355</v>
      </c>
      <c r="T133" s="0" t="n">
        <v>0.9813</v>
      </c>
      <c r="U133" s="0" t="n">
        <v>0.944</v>
      </c>
      <c r="V133" s="0" t="n">
        <v>1.3534</v>
      </c>
      <c r="W133" s="0" t="n">
        <v>0.0094</v>
      </c>
      <c r="X133" s="0" t="n">
        <v>0.9065</v>
      </c>
      <c r="Y133" s="0" t="n">
        <v>1.1681</v>
      </c>
      <c r="Z133" s="0" t="n">
        <v>25</v>
      </c>
      <c r="AA133" s="0" t="n">
        <v>6</v>
      </c>
      <c r="AB133" s="0" t="n">
        <v>33</v>
      </c>
      <c r="AC133" s="0" t="s">
        <v>91</v>
      </c>
      <c r="AD133" s="0" t="n">
        <v>5000</v>
      </c>
      <c r="AE133" s="0" t="n">
        <v>4992.93</v>
      </c>
      <c r="AF133" s="0" t="n">
        <v>4992.93</v>
      </c>
      <c r="AG133" s="0" t="n">
        <v>0.000156</v>
      </c>
      <c r="AH133" s="4" t="b">
        <f aca="false">TRUE()</f>
        <v>1</v>
      </c>
      <c r="AI133" s="0" t="s">
        <v>625</v>
      </c>
      <c r="AJ133" s="4" t="b">
        <f aca="false">FALSE()</f>
        <v>0</v>
      </c>
      <c r="AK133" s="4" t="b">
        <f aca="false">FALSE()</f>
        <v>0</v>
      </c>
      <c r="AL133" s="0" t="s">
        <v>67</v>
      </c>
      <c r="AM133" s="0" t="n">
        <v>0.473</v>
      </c>
      <c r="AN133" s="0" t="n">
        <v>-0.4696</v>
      </c>
      <c r="AO133" s="0" t="n">
        <v>0.9494</v>
      </c>
      <c r="AP133" s="0" t="n">
        <v>-0.9359</v>
      </c>
      <c r="AQ133" s="0" t="n">
        <v>1.9124</v>
      </c>
      <c r="AR133" s="0" t="n">
        <v>-1.8583</v>
      </c>
    </row>
    <row r="134" customFormat="false" ht="15" hidden="false" customHeight="false" outlineLevel="0" collapsed="false">
      <c r="A134" s="0" t="s">
        <v>626</v>
      </c>
      <c r="B134" s="0" t="s">
        <v>627</v>
      </c>
      <c r="C134" s="0" t="s">
        <v>581</v>
      </c>
      <c r="D134" s="0" t="s">
        <v>536</v>
      </c>
      <c r="E134" s="0" t="s">
        <v>520</v>
      </c>
      <c r="F134" s="0" t="s">
        <v>61</v>
      </c>
      <c r="G134" s="0" t="n">
        <v>100</v>
      </c>
      <c r="H134" s="0" t="n">
        <v>0.082</v>
      </c>
      <c r="I134" s="0" t="n">
        <v>2</v>
      </c>
      <c r="J134" s="0" t="s">
        <v>62</v>
      </c>
      <c r="K134" s="0" t="s">
        <v>628</v>
      </c>
      <c r="L134" s="0" t="s">
        <v>629</v>
      </c>
      <c r="M134" s="0" t="s">
        <v>65</v>
      </c>
      <c r="N134" s="0" t="n">
        <v>1.3169</v>
      </c>
      <c r="O134" s="0" t="n">
        <v>7</v>
      </c>
      <c r="P134" s="0" t="n">
        <v>0.0752</v>
      </c>
      <c r="Q134" s="0" t="n">
        <v>100.6435</v>
      </c>
      <c r="R134" s="0" t="n">
        <v>1.4859</v>
      </c>
      <c r="S134" s="0" t="n">
        <v>101.7905</v>
      </c>
      <c r="T134" s="0" t="n">
        <v>0.9804</v>
      </c>
      <c r="U134" s="0" t="n">
        <v>0.9449</v>
      </c>
      <c r="V134" s="0" t="n">
        <v>1.3568</v>
      </c>
      <c r="W134" s="0" t="n">
        <v>0.0095</v>
      </c>
      <c r="X134" s="0" t="n">
        <v>0.9449</v>
      </c>
      <c r="Y134" s="0" t="n">
        <v>1.3568</v>
      </c>
      <c r="Z134" s="0" t="n">
        <v>44</v>
      </c>
      <c r="AA134" s="0" t="n">
        <v>44</v>
      </c>
      <c r="AB134" s="0" t="n">
        <v>46</v>
      </c>
      <c r="AC134" s="0" t="s">
        <v>91</v>
      </c>
      <c r="AD134" s="0" t="n">
        <v>50000</v>
      </c>
      <c r="AE134" s="0" t="n">
        <v>50321.75</v>
      </c>
      <c r="AF134" s="0" t="n">
        <v>50321.75</v>
      </c>
      <c r="AG134" s="0" t="n">
        <v>0.00157</v>
      </c>
      <c r="AH134" s="4" t="b">
        <f aca="false">FALSE()</f>
        <v>0</v>
      </c>
      <c r="AJ134" s="4" t="b">
        <f aca="false">FALSE()</f>
        <v>0</v>
      </c>
      <c r="AK134" s="4" t="b">
        <f aca="false">FALSE()</f>
        <v>0</v>
      </c>
      <c r="AL134" s="0" t="s">
        <v>67</v>
      </c>
      <c r="AM134" s="0" t="n">
        <v>0.4772</v>
      </c>
      <c r="AN134" s="0" t="n">
        <v>-0.4738</v>
      </c>
      <c r="AO134" s="0" t="n">
        <v>0.9578</v>
      </c>
      <c r="AP134" s="0" t="n">
        <v>-0.9442</v>
      </c>
      <c r="AQ134" s="0" t="n">
        <v>1.9293</v>
      </c>
      <c r="AR134" s="0" t="n">
        <v>-1.8747</v>
      </c>
    </row>
    <row r="135" customFormat="false" ht="15" hidden="false" customHeight="false" outlineLevel="0" collapsed="false">
      <c r="A135" s="0" t="s">
        <v>630</v>
      </c>
      <c r="B135" s="0" t="s">
        <v>631</v>
      </c>
      <c r="C135" s="0" t="s">
        <v>591</v>
      </c>
      <c r="D135" s="0" t="s">
        <v>536</v>
      </c>
      <c r="E135" s="0" t="s">
        <v>520</v>
      </c>
      <c r="F135" s="0" t="s">
        <v>61</v>
      </c>
      <c r="G135" s="0" t="n">
        <v>100</v>
      </c>
      <c r="H135" s="0" t="n">
        <v>0.0733</v>
      </c>
      <c r="I135" s="0" t="n">
        <v>2</v>
      </c>
      <c r="J135" s="0" t="s">
        <v>62</v>
      </c>
      <c r="K135" s="0" t="s">
        <v>632</v>
      </c>
      <c r="L135" s="0" t="s">
        <v>633</v>
      </c>
      <c r="M135" s="0" t="s">
        <v>65</v>
      </c>
      <c r="N135" s="0" t="n">
        <v>3.3922</v>
      </c>
      <c r="O135" s="0" t="n">
        <v>6</v>
      </c>
      <c r="P135" s="0" t="n">
        <v>0.0813</v>
      </c>
      <c r="Q135" s="0" t="n">
        <v>97.9076</v>
      </c>
      <c r="R135" s="0" t="n">
        <v>0.4519</v>
      </c>
      <c r="S135" s="0" t="n">
        <v>99.053</v>
      </c>
      <c r="T135" s="0" t="n">
        <v>2.7439</v>
      </c>
      <c r="U135" s="0" t="n">
        <v>2.6367</v>
      </c>
      <c r="V135" s="0" t="n">
        <v>8.5992</v>
      </c>
      <c r="W135" s="0" t="n">
        <v>0.0258</v>
      </c>
      <c r="X135" s="0" t="n">
        <v>2.6367</v>
      </c>
      <c r="Y135" s="0" t="n">
        <v>8.5992</v>
      </c>
      <c r="Z135" s="0" t="n">
        <v>43</v>
      </c>
      <c r="AA135" s="0" t="n">
        <v>43</v>
      </c>
      <c r="AB135" s="0" t="n">
        <v>44</v>
      </c>
      <c r="AC135" s="0" t="s">
        <v>230</v>
      </c>
      <c r="AD135" s="0" t="n">
        <v>5000</v>
      </c>
      <c r="AE135" s="0" t="n">
        <v>4895.38</v>
      </c>
      <c r="AF135" s="0" t="n">
        <v>4895.38</v>
      </c>
      <c r="AG135" s="0" t="n">
        <v>0.000153</v>
      </c>
      <c r="AH135" s="4" t="b">
        <f aca="false">FALSE()</f>
        <v>0</v>
      </c>
      <c r="AJ135" s="4" t="b">
        <f aca="false">FALSE()</f>
        <v>0</v>
      </c>
      <c r="AK135" s="4" t="b">
        <f aca="false">FALSE()</f>
        <v>0</v>
      </c>
      <c r="AL135" s="0" t="s">
        <v>67</v>
      </c>
      <c r="AM135" s="0" t="n">
        <v>1.3013</v>
      </c>
      <c r="AN135" s="0" t="n">
        <v>-1.2802</v>
      </c>
      <c r="AO135" s="0" t="n">
        <v>2.6236</v>
      </c>
      <c r="AP135" s="0" t="n">
        <v>-2.5394</v>
      </c>
      <c r="AQ135" s="0" t="n">
        <v>5.3314</v>
      </c>
      <c r="AR135" s="0" t="n">
        <v>-4.9947</v>
      </c>
    </row>
    <row r="136" customFormat="false" ht="15" hidden="false" customHeight="false" outlineLevel="0" collapsed="false">
      <c r="A136" s="0" t="s">
        <v>634</v>
      </c>
      <c r="B136" s="0" t="s">
        <v>635</v>
      </c>
      <c r="C136" s="0" t="s">
        <v>581</v>
      </c>
      <c r="D136" s="0" t="s">
        <v>519</v>
      </c>
      <c r="E136" s="0" t="s">
        <v>520</v>
      </c>
      <c r="F136" s="0" t="s">
        <v>61</v>
      </c>
      <c r="G136" s="0" t="n">
        <v>100</v>
      </c>
      <c r="H136" s="0" t="n">
        <v>0.0786</v>
      </c>
      <c r="I136" s="0" t="n">
        <v>2</v>
      </c>
      <c r="J136" s="0" t="s">
        <v>62</v>
      </c>
      <c r="K136" s="0" t="s">
        <v>636</v>
      </c>
      <c r="L136" s="0" t="s">
        <v>637</v>
      </c>
      <c r="M136" s="0" t="s">
        <v>65</v>
      </c>
      <c r="N136" s="0" t="n">
        <v>2.5982</v>
      </c>
      <c r="O136" s="0" t="n">
        <v>4</v>
      </c>
      <c r="P136" s="0" t="n">
        <v>0.0828</v>
      </c>
      <c r="Q136" s="0" t="n">
        <v>99.0688</v>
      </c>
      <c r="R136" s="0" t="n">
        <v>0.3491</v>
      </c>
      <c r="S136" s="0" t="n">
        <v>99.8513</v>
      </c>
      <c r="T136" s="0" t="n">
        <v>2.317</v>
      </c>
      <c r="U136" s="0" t="n">
        <v>2.2249</v>
      </c>
      <c r="V136" s="0" t="n">
        <v>6.2438</v>
      </c>
      <c r="W136" s="0" t="n">
        <v>0.022</v>
      </c>
      <c r="X136" s="0" t="n">
        <v>2.2249</v>
      </c>
      <c r="Y136" s="0" t="n">
        <v>6.2438</v>
      </c>
      <c r="Z136" s="0" t="n">
        <v>32</v>
      </c>
      <c r="AA136" s="0" t="n">
        <v>32</v>
      </c>
      <c r="AB136" s="0" t="n">
        <v>37</v>
      </c>
      <c r="AC136" s="0" t="s">
        <v>66</v>
      </c>
      <c r="AD136" s="0" t="n">
        <v>200000</v>
      </c>
      <c r="AE136" s="0" t="n">
        <v>198137.6</v>
      </c>
      <c r="AF136" s="0" t="n">
        <v>198137.6</v>
      </c>
      <c r="AG136" s="0" t="n">
        <v>0.00618</v>
      </c>
      <c r="AH136" s="4" t="b">
        <f aca="false">FALSE()</f>
        <v>0</v>
      </c>
      <c r="AJ136" s="4" t="b">
        <f aca="false">FALSE()</f>
        <v>0</v>
      </c>
      <c r="AK136" s="4" t="b">
        <f aca="false">FALSE()</f>
        <v>0</v>
      </c>
      <c r="AL136" s="0" t="s">
        <v>67</v>
      </c>
      <c r="AM136" s="0" t="n">
        <v>1.1098</v>
      </c>
      <c r="AN136" s="0" t="n">
        <v>-1.0944</v>
      </c>
      <c r="AO136" s="0" t="n">
        <v>2.2351</v>
      </c>
      <c r="AP136" s="0" t="n">
        <v>-2.1733</v>
      </c>
      <c r="AQ136" s="0" t="n">
        <v>4.5321</v>
      </c>
      <c r="AR136" s="0" t="n">
        <v>-4.2847</v>
      </c>
    </row>
    <row r="137" customFormat="false" ht="15" hidden="false" customHeight="false" outlineLevel="0" collapsed="false">
      <c r="A137" s="0" t="s">
        <v>638</v>
      </c>
      <c r="B137" s="0" t="s">
        <v>639</v>
      </c>
      <c r="C137" s="0" t="s">
        <v>541</v>
      </c>
      <c r="D137" s="0" t="s">
        <v>536</v>
      </c>
      <c r="E137" s="0" t="s">
        <v>520</v>
      </c>
      <c r="F137" s="0" t="s">
        <v>61</v>
      </c>
      <c r="G137" s="0" t="n">
        <v>100</v>
      </c>
      <c r="H137" s="0" t="n">
        <v>0.074</v>
      </c>
      <c r="I137" s="0" t="n">
        <v>2</v>
      </c>
      <c r="J137" s="0" t="s">
        <v>62</v>
      </c>
      <c r="K137" s="0" t="s">
        <v>640</v>
      </c>
      <c r="L137" s="0" t="s">
        <v>641</v>
      </c>
      <c r="M137" s="0" t="s">
        <v>65</v>
      </c>
      <c r="N137" s="0" t="n">
        <v>7.8768</v>
      </c>
      <c r="O137" s="0" t="n">
        <v>10</v>
      </c>
      <c r="P137" s="0" t="n">
        <v>0.085</v>
      </c>
      <c r="Q137" s="0" t="n">
        <v>93.9904</v>
      </c>
      <c r="R137" s="0" t="n">
        <v>1.7445</v>
      </c>
      <c r="S137" s="0" t="n">
        <v>94.3782</v>
      </c>
      <c r="T137" s="0" t="n">
        <v>5.8285</v>
      </c>
      <c r="U137" s="0" t="n">
        <v>5.5909</v>
      </c>
      <c r="V137" s="0" t="n">
        <v>39.157</v>
      </c>
      <c r="W137" s="0" t="n">
        <v>0.0525</v>
      </c>
      <c r="X137" s="0" t="n">
        <v>5.5909</v>
      </c>
      <c r="Y137" s="0" t="n">
        <v>39.157</v>
      </c>
      <c r="Z137" s="0" t="n">
        <v>80</v>
      </c>
      <c r="AA137" s="0" t="n">
        <v>80</v>
      </c>
      <c r="AB137" s="0" t="n">
        <v>84</v>
      </c>
      <c r="AC137" s="0" t="s">
        <v>210</v>
      </c>
      <c r="AD137" s="0" t="n">
        <v>5000</v>
      </c>
      <c r="AE137" s="0" t="n">
        <v>4699.52</v>
      </c>
      <c r="AF137" s="0" t="n">
        <v>4699.52</v>
      </c>
      <c r="AG137" s="0" t="n">
        <v>0.000147</v>
      </c>
      <c r="AH137" s="4" t="b">
        <f aca="false">FALSE()</f>
        <v>0</v>
      </c>
      <c r="AJ137" s="4" t="b">
        <f aca="false">FALSE()</f>
        <v>0</v>
      </c>
      <c r="AK137" s="4" t="b">
        <f aca="false">FALSE()</f>
        <v>0</v>
      </c>
      <c r="AL137" s="0" t="s">
        <v>67</v>
      </c>
      <c r="AM137" s="0" t="n">
        <v>2.6735</v>
      </c>
      <c r="AN137" s="0" t="n">
        <v>-2.5814</v>
      </c>
      <c r="AO137" s="0" t="n">
        <v>5.4389</v>
      </c>
      <c r="AP137" s="0" t="n">
        <v>-5.0709</v>
      </c>
      <c r="AQ137" s="0" t="n">
        <v>11.2459</v>
      </c>
      <c r="AR137" s="0" t="n">
        <v>-9.7737</v>
      </c>
    </row>
    <row r="138" customFormat="false" ht="15" hidden="false" customHeight="false" outlineLevel="0" collapsed="false">
      <c r="A138" s="0" t="s">
        <v>642</v>
      </c>
      <c r="B138" s="0" t="s">
        <v>643</v>
      </c>
      <c r="C138" s="0" t="s">
        <v>546</v>
      </c>
      <c r="D138" s="0" t="s">
        <v>519</v>
      </c>
      <c r="E138" s="0" t="s">
        <v>520</v>
      </c>
      <c r="F138" s="0" t="s">
        <v>61</v>
      </c>
      <c r="G138" s="0" t="n">
        <v>100</v>
      </c>
      <c r="H138" s="0" t="n">
        <v>0.079</v>
      </c>
      <c r="I138" s="0" t="n">
        <v>2</v>
      </c>
      <c r="J138" s="0" t="s">
        <v>62</v>
      </c>
      <c r="K138" s="0" t="s">
        <v>644</v>
      </c>
      <c r="L138" s="0" t="s">
        <v>645</v>
      </c>
      <c r="M138" s="0" t="s">
        <v>65</v>
      </c>
      <c r="N138" s="0" t="n">
        <v>3.8412</v>
      </c>
      <c r="O138" s="0" t="n">
        <v>9</v>
      </c>
      <c r="P138" s="0" t="n">
        <v>0.0819</v>
      </c>
      <c r="Q138" s="0" t="n">
        <v>99.1327</v>
      </c>
      <c r="R138" s="0" t="n">
        <v>0.0726</v>
      </c>
      <c r="S138" s="0" t="n">
        <v>101.0453</v>
      </c>
      <c r="T138" s="0" t="n">
        <v>3.1234</v>
      </c>
      <c r="U138" s="0" t="n">
        <v>3.0005</v>
      </c>
      <c r="V138" s="0" t="n">
        <v>11.0819</v>
      </c>
      <c r="W138" s="0" t="n">
        <v>0.0297</v>
      </c>
      <c r="X138" s="0" t="n">
        <v>3.0005</v>
      </c>
      <c r="Y138" s="0" t="n">
        <v>11.0819</v>
      </c>
      <c r="Z138" s="0" t="n">
        <v>64</v>
      </c>
      <c r="AA138" s="0" t="n">
        <v>64</v>
      </c>
      <c r="AB138" s="0" t="n">
        <v>61</v>
      </c>
      <c r="AC138" s="0" t="s">
        <v>230</v>
      </c>
      <c r="AD138" s="0" t="n">
        <v>500000</v>
      </c>
      <c r="AE138" s="0" t="n">
        <v>495663.5</v>
      </c>
      <c r="AF138" s="0" t="n">
        <v>495663.5</v>
      </c>
      <c r="AG138" s="0" t="n">
        <v>0.015461</v>
      </c>
      <c r="AH138" s="4" t="b">
        <f aca="false">FALSE()</f>
        <v>0</v>
      </c>
      <c r="AJ138" s="4" t="b">
        <f aca="false">FALSE()</f>
        <v>0</v>
      </c>
      <c r="AK138" s="4" t="b">
        <f aca="false">FALSE()</f>
        <v>0</v>
      </c>
      <c r="AL138" s="0" t="s">
        <v>67</v>
      </c>
      <c r="AM138" s="0" t="n">
        <v>1.501</v>
      </c>
      <c r="AN138" s="0" t="n">
        <v>-1.4735</v>
      </c>
      <c r="AO138" s="0" t="n">
        <v>3.0294</v>
      </c>
      <c r="AP138" s="0" t="n">
        <v>-2.9195</v>
      </c>
      <c r="AQ138" s="0" t="n">
        <v>6.1687</v>
      </c>
      <c r="AR138" s="0" t="n">
        <v>-5.7292</v>
      </c>
    </row>
    <row r="139" customFormat="false" ht="15" hidden="false" customHeight="false" outlineLevel="0" collapsed="false">
      <c r="A139" s="0" t="s">
        <v>646</v>
      </c>
      <c r="B139" s="0" t="s">
        <v>647</v>
      </c>
      <c r="C139" s="0" t="s">
        <v>551</v>
      </c>
      <c r="D139" s="0" t="s">
        <v>519</v>
      </c>
      <c r="E139" s="0" t="s">
        <v>520</v>
      </c>
      <c r="F139" s="0" t="s">
        <v>61</v>
      </c>
      <c r="G139" s="0" t="n">
        <v>100</v>
      </c>
      <c r="H139" s="0" t="n">
        <v>0.072</v>
      </c>
      <c r="I139" s="0" t="n">
        <v>2</v>
      </c>
      <c r="J139" s="0" t="s">
        <v>62</v>
      </c>
      <c r="K139" s="0" t="s">
        <v>648</v>
      </c>
      <c r="L139" s="0" t="s">
        <v>649</v>
      </c>
      <c r="M139" s="0" t="s">
        <v>65</v>
      </c>
      <c r="N139" s="0" t="n">
        <v>2.4559</v>
      </c>
      <c r="O139" s="0" t="n">
        <v>5</v>
      </c>
      <c r="P139" s="0" t="n">
        <v>0.0817</v>
      </c>
      <c r="Q139" s="0" t="n">
        <v>98.243</v>
      </c>
      <c r="R139" s="0" t="n">
        <v>0.8024</v>
      </c>
      <c r="S139" s="0" t="n">
        <v>98.947</v>
      </c>
      <c r="T139" s="0" t="n">
        <v>1.8971</v>
      </c>
      <c r="U139" s="0" t="n">
        <v>1.8226</v>
      </c>
      <c r="V139" s="0" t="n">
        <v>4.2997</v>
      </c>
      <c r="W139" s="0" t="n">
        <v>0.0179</v>
      </c>
      <c r="X139" s="0" t="n">
        <v>1.8226</v>
      </c>
      <c r="Y139" s="0" t="n">
        <v>4.2997</v>
      </c>
      <c r="Z139" s="0" t="n">
        <v>64</v>
      </c>
      <c r="AA139" s="0" t="n">
        <v>64</v>
      </c>
      <c r="AB139" s="0" t="n">
        <v>63</v>
      </c>
      <c r="AC139" s="0" t="s">
        <v>66</v>
      </c>
      <c r="AD139" s="0" t="n">
        <v>100000</v>
      </c>
      <c r="AE139" s="0" t="n">
        <v>98243</v>
      </c>
      <c r="AF139" s="0" t="n">
        <v>98243</v>
      </c>
      <c r="AG139" s="0" t="n">
        <v>0.003064</v>
      </c>
      <c r="AH139" s="4" t="b">
        <f aca="false">FALSE()</f>
        <v>0</v>
      </c>
      <c r="AJ139" s="4" t="b">
        <f aca="false">FALSE()</f>
        <v>0</v>
      </c>
      <c r="AK139" s="4" t="b">
        <f aca="false">FALSE()</f>
        <v>0</v>
      </c>
      <c r="AL139" s="0" t="s">
        <v>67</v>
      </c>
      <c r="AM139" s="0" t="n">
        <v>0.9006</v>
      </c>
      <c r="AN139" s="0" t="n">
        <v>-0.89</v>
      </c>
      <c r="AO139" s="0" t="n">
        <v>1.8117</v>
      </c>
      <c r="AP139" s="0" t="n">
        <v>-1.7695</v>
      </c>
      <c r="AQ139" s="0" t="n">
        <v>3.6656</v>
      </c>
      <c r="AR139" s="0" t="n">
        <v>-3.4967</v>
      </c>
    </row>
    <row r="140" customFormat="false" ht="15" hidden="false" customHeight="false" outlineLevel="0" collapsed="false">
      <c r="A140" s="0" t="s">
        <v>650</v>
      </c>
      <c r="B140" s="0" t="s">
        <v>651</v>
      </c>
      <c r="C140" s="0" t="s">
        <v>525</v>
      </c>
      <c r="D140" s="0" t="s">
        <v>519</v>
      </c>
      <c r="E140" s="0" t="s">
        <v>520</v>
      </c>
      <c r="F140" s="0" t="s">
        <v>61</v>
      </c>
      <c r="G140" s="0" t="n">
        <v>100</v>
      </c>
      <c r="H140" s="0" t="n">
        <v>0.0791</v>
      </c>
      <c r="I140" s="0" t="n">
        <v>2</v>
      </c>
      <c r="J140" s="0" t="s">
        <v>62</v>
      </c>
      <c r="K140" s="0" t="s">
        <v>652</v>
      </c>
      <c r="L140" s="0" t="s">
        <v>653</v>
      </c>
      <c r="M140" s="0" t="s">
        <v>65</v>
      </c>
      <c r="N140" s="0" t="n">
        <v>2.4148</v>
      </c>
      <c r="O140" s="0" t="n">
        <v>5</v>
      </c>
      <c r="P140" s="0" t="n">
        <v>0.0795</v>
      </c>
      <c r="Q140" s="0" t="n">
        <v>99.9274</v>
      </c>
      <c r="R140" s="0" t="n">
        <v>0.8947</v>
      </c>
      <c r="S140" s="0" t="n">
        <v>100.0602</v>
      </c>
      <c r="T140" s="0" t="n">
        <v>1.8887</v>
      </c>
      <c r="U140" s="0" t="n">
        <v>1.8165</v>
      </c>
      <c r="V140" s="0" t="n">
        <v>4.2829</v>
      </c>
      <c r="W140" s="0" t="n">
        <v>0.0182</v>
      </c>
      <c r="X140" s="0" t="n">
        <v>1.8165</v>
      </c>
      <c r="Y140" s="0" t="n">
        <v>4.2829</v>
      </c>
      <c r="Z140" s="0" t="n">
        <v>48</v>
      </c>
      <c r="AA140" s="0" t="n">
        <v>48</v>
      </c>
      <c r="AB140" s="0" t="n">
        <v>44</v>
      </c>
      <c r="AC140" s="0" t="s">
        <v>66</v>
      </c>
      <c r="AD140" s="0" t="n">
        <v>5000</v>
      </c>
      <c r="AE140" s="0" t="n">
        <v>4996.37</v>
      </c>
      <c r="AF140" s="0" t="n">
        <v>4996.37</v>
      </c>
      <c r="AG140" s="0" t="n">
        <v>0.000156</v>
      </c>
      <c r="AH140" s="4" t="b">
        <f aca="false">FALSE()</f>
        <v>0</v>
      </c>
      <c r="AJ140" s="4" t="b">
        <f aca="false">FALSE()</f>
        <v>0</v>
      </c>
      <c r="AK140" s="4" t="b">
        <f aca="false">FALSE()</f>
        <v>0</v>
      </c>
      <c r="AL140" s="0" t="s">
        <v>67</v>
      </c>
      <c r="AM140" s="0" t="n">
        <v>0.9129</v>
      </c>
      <c r="AN140" s="0" t="n">
        <v>-0.9022</v>
      </c>
      <c r="AO140" s="0" t="n">
        <v>1.8366</v>
      </c>
      <c r="AP140" s="0" t="n">
        <v>-1.7938</v>
      </c>
      <c r="AQ140" s="0" t="n">
        <v>3.716</v>
      </c>
      <c r="AR140" s="0" t="n">
        <v>-3.5448</v>
      </c>
    </row>
    <row r="141" customFormat="false" ht="15" hidden="false" customHeight="false" outlineLevel="0" collapsed="false">
      <c r="A141" s="0" t="s">
        <v>654</v>
      </c>
      <c r="B141" s="0" t="s">
        <v>655</v>
      </c>
      <c r="C141" s="0" t="s">
        <v>606</v>
      </c>
      <c r="D141" s="0" t="s">
        <v>536</v>
      </c>
      <c r="E141" s="0" t="s">
        <v>520</v>
      </c>
      <c r="F141" s="0" t="s">
        <v>61</v>
      </c>
      <c r="G141" s="0" t="n">
        <v>100</v>
      </c>
      <c r="H141" s="0" t="n">
        <v>0.0766</v>
      </c>
      <c r="I141" s="0" t="n">
        <v>2</v>
      </c>
      <c r="J141" s="0" t="s">
        <v>62</v>
      </c>
      <c r="K141" s="0" t="s">
        <v>656</v>
      </c>
      <c r="L141" s="0" t="s">
        <v>657</v>
      </c>
      <c r="M141" s="0" t="s">
        <v>65</v>
      </c>
      <c r="N141" s="0" t="n">
        <v>0.7912</v>
      </c>
      <c r="O141" s="0" t="n">
        <v>8</v>
      </c>
      <c r="P141" s="0" t="n">
        <v>0.078</v>
      </c>
      <c r="Q141" s="0" t="n">
        <v>99.9326</v>
      </c>
      <c r="R141" s="0" t="n">
        <v>1.2265</v>
      </c>
      <c r="S141" s="0" t="n">
        <v>100.7601</v>
      </c>
      <c r="T141" s="0" t="n">
        <v>0.5</v>
      </c>
      <c r="U141" s="0" t="n">
        <v>0.4812</v>
      </c>
      <c r="V141" s="0" t="n">
        <v>0.4632</v>
      </c>
      <c r="W141" s="0" t="n">
        <v>0.0048</v>
      </c>
      <c r="X141" s="0" t="n">
        <v>0.4812</v>
      </c>
      <c r="Y141" s="0" t="n">
        <v>0.4632</v>
      </c>
      <c r="Z141" s="0" t="n">
        <v>60</v>
      </c>
      <c r="AA141" s="0" t="n">
        <v>60</v>
      </c>
      <c r="AB141" s="0" t="n">
        <v>55</v>
      </c>
      <c r="AC141" s="0" t="s">
        <v>173</v>
      </c>
      <c r="AD141" s="0" t="n">
        <v>50000</v>
      </c>
      <c r="AE141" s="0" t="n">
        <v>49966.3</v>
      </c>
      <c r="AF141" s="0" t="n">
        <v>49966.3</v>
      </c>
      <c r="AG141" s="0" t="n">
        <v>0.001559</v>
      </c>
      <c r="AH141" s="4" t="b">
        <f aca="false">FALSE()</f>
        <v>0</v>
      </c>
      <c r="AJ141" s="4" t="b">
        <f aca="false">FALSE()</f>
        <v>0</v>
      </c>
      <c r="AK141" s="4" t="b">
        <f aca="false">FALSE()</f>
        <v>0</v>
      </c>
      <c r="AL141" s="0" t="s">
        <v>67</v>
      </c>
      <c r="AM141" s="0" t="n">
        <v>0.241</v>
      </c>
      <c r="AN141" s="0" t="n">
        <v>-0.2399</v>
      </c>
      <c r="AO141" s="0" t="n">
        <v>0.4832</v>
      </c>
      <c r="AP141" s="0" t="n">
        <v>-0.4786</v>
      </c>
      <c r="AQ141" s="0" t="n">
        <v>0.971</v>
      </c>
      <c r="AR141" s="0" t="n">
        <v>-0.9525</v>
      </c>
    </row>
    <row r="142" customFormat="false" ht="15" hidden="false" customHeight="false" outlineLevel="0" collapsed="false">
      <c r="A142" s="0" t="s">
        <v>658</v>
      </c>
      <c r="B142" s="0" t="s">
        <v>659</v>
      </c>
      <c r="C142" s="0" t="s">
        <v>546</v>
      </c>
      <c r="D142" s="0" t="s">
        <v>536</v>
      </c>
      <c r="E142" s="0" t="s">
        <v>520</v>
      </c>
      <c r="F142" s="0" t="s">
        <v>61</v>
      </c>
      <c r="G142" s="0" t="n">
        <v>100</v>
      </c>
      <c r="H142" s="0" t="n">
        <v>0.0815</v>
      </c>
      <c r="I142" s="0" t="n">
        <v>2</v>
      </c>
      <c r="J142" s="0" t="s">
        <v>62</v>
      </c>
      <c r="K142" s="0" t="s">
        <v>660</v>
      </c>
      <c r="L142" s="0" t="s">
        <v>661</v>
      </c>
      <c r="M142" s="0" t="s">
        <v>65</v>
      </c>
      <c r="N142" s="0" t="n">
        <v>7.8138</v>
      </c>
      <c r="O142" s="0" t="n">
        <v>10</v>
      </c>
      <c r="P142" s="0" t="n">
        <v>0.0792</v>
      </c>
      <c r="Q142" s="0" t="n">
        <v>101.2822</v>
      </c>
      <c r="R142" s="0" t="n">
        <v>1.7576</v>
      </c>
      <c r="S142" s="0" t="n">
        <v>102.3574</v>
      </c>
      <c r="T142" s="0" t="n">
        <v>5.7682</v>
      </c>
      <c r="U142" s="0" t="n">
        <v>5.5485</v>
      </c>
      <c r="V142" s="0" t="n">
        <v>38.7699</v>
      </c>
      <c r="W142" s="0" t="n">
        <v>0.0562</v>
      </c>
      <c r="X142" s="0" t="n">
        <v>5.5485</v>
      </c>
      <c r="Y142" s="0" t="n">
        <v>38.7699</v>
      </c>
      <c r="Z142" s="0" t="n">
        <v>27</v>
      </c>
      <c r="AA142" s="0" t="n">
        <v>27</v>
      </c>
      <c r="AB142" s="0" t="n">
        <v>32</v>
      </c>
      <c r="AC142" s="0" t="s">
        <v>210</v>
      </c>
      <c r="AD142" s="0" t="n">
        <v>50000</v>
      </c>
      <c r="AE142" s="0" t="n">
        <v>50641.1</v>
      </c>
      <c r="AF142" s="0" t="n">
        <v>50641.1</v>
      </c>
      <c r="AG142" s="0" t="n">
        <v>0.00158</v>
      </c>
      <c r="AH142" s="4" t="b">
        <f aca="false">FALSE()</f>
        <v>0</v>
      </c>
      <c r="AJ142" s="4" t="b">
        <f aca="false">FALSE()</f>
        <v>0</v>
      </c>
      <c r="AK142" s="4" t="b">
        <f aca="false">FALSE()</f>
        <v>0</v>
      </c>
      <c r="AL142" s="0" t="s">
        <v>67</v>
      </c>
      <c r="AM142" s="0" t="n">
        <v>2.8589</v>
      </c>
      <c r="AN142" s="0" t="n">
        <v>-2.7607</v>
      </c>
      <c r="AO142" s="0" t="n">
        <v>5.816</v>
      </c>
      <c r="AP142" s="0" t="n">
        <v>-5.4233</v>
      </c>
      <c r="AQ142" s="0" t="n">
        <v>12.0246</v>
      </c>
      <c r="AR142" s="0" t="n">
        <v>-10.4539</v>
      </c>
    </row>
    <row r="143" customFormat="false" ht="15" hidden="false" customHeight="false" outlineLevel="0" collapsed="false">
      <c r="A143" s="0" t="s">
        <v>662</v>
      </c>
      <c r="B143" s="0" t="s">
        <v>663</v>
      </c>
      <c r="C143" s="0" t="s">
        <v>591</v>
      </c>
      <c r="D143" s="0" t="s">
        <v>526</v>
      </c>
      <c r="E143" s="0" t="s">
        <v>520</v>
      </c>
      <c r="F143" s="0" t="s">
        <v>61</v>
      </c>
      <c r="G143" s="0" t="n">
        <v>100</v>
      </c>
      <c r="H143" s="0" t="n">
        <v>0.0884</v>
      </c>
      <c r="I143" s="0" t="n">
        <v>2</v>
      </c>
      <c r="J143" s="0" t="s">
        <v>62</v>
      </c>
      <c r="K143" s="0" t="s">
        <v>664</v>
      </c>
      <c r="L143" s="0" t="s">
        <v>665</v>
      </c>
      <c r="M143" s="0" t="s">
        <v>65</v>
      </c>
      <c r="N143" s="0" t="n">
        <v>1.1554</v>
      </c>
      <c r="O143" s="0" t="n">
        <v>3</v>
      </c>
      <c r="P143" s="0" t="n">
        <v>0.0791</v>
      </c>
      <c r="Q143" s="0" t="n">
        <v>100.8776</v>
      </c>
      <c r="R143" s="0" t="n">
        <v>1.5325</v>
      </c>
      <c r="S143" s="0" t="n">
        <v>102.0065</v>
      </c>
      <c r="T143" s="0" t="n">
        <v>0.9789</v>
      </c>
      <c r="U143" s="0" t="n">
        <v>0.9417</v>
      </c>
      <c r="V143" s="0" t="n">
        <v>1.349</v>
      </c>
      <c r="W143" s="0" t="n">
        <v>0.0095</v>
      </c>
      <c r="X143" s="0" t="n">
        <v>0.934</v>
      </c>
      <c r="Y143" s="0" t="n">
        <v>1.1745</v>
      </c>
      <c r="Z143" s="0" t="n">
        <v>39</v>
      </c>
      <c r="AA143" s="0" t="n">
        <v>18</v>
      </c>
      <c r="AB143" s="0" t="n">
        <v>46</v>
      </c>
      <c r="AC143" s="0" t="s">
        <v>91</v>
      </c>
      <c r="AD143" s="0" t="n">
        <v>10000</v>
      </c>
      <c r="AE143" s="0" t="n">
        <v>10087.76</v>
      </c>
      <c r="AF143" s="0" t="n">
        <v>10087.76</v>
      </c>
      <c r="AG143" s="0" t="n">
        <v>0.000315</v>
      </c>
      <c r="AH143" s="4" t="b">
        <f aca="false">TRUE()</f>
        <v>1</v>
      </c>
      <c r="AI143" s="0" t="s">
        <v>666</v>
      </c>
      <c r="AJ143" s="4" t="b">
        <f aca="false">FALSE()</f>
        <v>0</v>
      </c>
      <c r="AK143" s="4" t="b">
        <f aca="false">FALSE()</f>
        <v>0</v>
      </c>
      <c r="AL143" s="0" t="s">
        <v>67</v>
      </c>
      <c r="AM143" s="0" t="n">
        <v>0.4767</v>
      </c>
      <c r="AN143" s="0" t="n">
        <v>-0.4733</v>
      </c>
      <c r="AO143" s="0" t="n">
        <v>0.9568</v>
      </c>
      <c r="AP143" s="0" t="n">
        <v>-0.9432</v>
      </c>
      <c r="AQ143" s="0" t="n">
        <v>1.9271</v>
      </c>
      <c r="AR143" s="0" t="n">
        <v>-1.8727</v>
      </c>
    </row>
    <row r="144" customFormat="false" ht="15" hidden="false" customHeight="false" outlineLevel="0" collapsed="false">
      <c r="A144" s="0" t="s">
        <v>667</v>
      </c>
      <c r="B144" s="0" t="s">
        <v>668</v>
      </c>
      <c r="C144" s="0" t="s">
        <v>576</v>
      </c>
      <c r="D144" s="0" t="s">
        <v>519</v>
      </c>
      <c r="E144" s="0" t="s">
        <v>520</v>
      </c>
      <c r="F144" s="0" t="s">
        <v>61</v>
      </c>
      <c r="G144" s="0" t="n">
        <v>100</v>
      </c>
      <c r="H144" s="0" t="n">
        <v>0.0868</v>
      </c>
      <c r="I144" s="0" t="n">
        <v>2</v>
      </c>
      <c r="J144" s="0" t="s">
        <v>62</v>
      </c>
      <c r="K144" s="0" t="s">
        <v>669</v>
      </c>
      <c r="L144" s="0" t="s">
        <v>670</v>
      </c>
      <c r="M144" s="0" t="s">
        <v>65</v>
      </c>
      <c r="N144" s="0" t="n">
        <v>0.6352</v>
      </c>
      <c r="O144" s="0" t="n">
        <v>2</v>
      </c>
      <c r="P144" s="0" t="n">
        <v>0.0874</v>
      </c>
      <c r="Q144" s="0" t="n">
        <v>99.9713</v>
      </c>
      <c r="R144" s="0" t="n">
        <v>0.8332</v>
      </c>
      <c r="S144" s="0" t="n">
        <v>101.1899</v>
      </c>
      <c r="T144" s="0" t="n">
        <v>0.5</v>
      </c>
      <c r="U144" s="0" t="n">
        <v>0.4791</v>
      </c>
      <c r="V144" s="0" t="n">
        <v>0.459</v>
      </c>
      <c r="W144" s="0" t="n">
        <v>0.0048</v>
      </c>
      <c r="X144" s="0" t="n">
        <v>0.4791</v>
      </c>
      <c r="Y144" s="0" t="n">
        <v>0.459</v>
      </c>
      <c r="Z144" s="0" t="n">
        <v>28</v>
      </c>
      <c r="AA144" s="0" t="n">
        <v>28</v>
      </c>
      <c r="AB144" s="0" t="n">
        <v>38</v>
      </c>
      <c r="AC144" s="0" t="s">
        <v>173</v>
      </c>
      <c r="AD144" s="0" t="n">
        <v>50000</v>
      </c>
      <c r="AE144" s="0" t="n">
        <v>49985.65</v>
      </c>
      <c r="AF144" s="0" t="n">
        <v>49985.65</v>
      </c>
      <c r="AG144" s="0" t="n">
        <v>0.001559</v>
      </c>
      <c r="AH144" s="4" t="b">
        <f aca="false">FALSE()</f>
        <v>0</v>
      </c>
      <c r="AJ144" s="4" t="b">
        <f aca="false">FALSE()</f>
        <v>0</v>
      </c>
      <c r="AK144" s="4" t="b">
        <f aca="false">FALSE()</f>
        <v>0</v>
      </c>
      <c r="AL144" s="0" t="s">
        <v>67</v>
      </c>
      <c r="AM144" s="0" t="n">
        <v>0.2401</v>
      </c>
      <c r="AN144" s="0" t="n">
        <v>-0.2389</v>
      </c>
      <c r="AO144" s="0" t="n">
        <v>0.4813</v>
      </c>
      <c r="AP144" s="0" t="n">
        <v>-0.4767</v>
      </c>
      <c r="AQ144" s="0" t="n">
        <v>0.9671</v>
      </c>
      <c r="AR144" s="0" t="n">
        <v>-0.9487</v>
      </c>
    </row>
    <row r="145" customFormat="false" ht="15" hidden="false" customHeight="false" outlineLevel="0" collapsed="false">
      <c r="A145" s="0" t="s">
        <v>671</v>
      </c>
      <c r="B145" s="0" t="s">
        <v>672</v>
      </c>
      <c r="C145" s="0" t="s">
        <v>576</v>
      </c>
      <c r="D145" s="0" t="s">
        <v>536</v>
      </c>
      <c r="E145" s="0" t="s">
        <v>520</v>
      </c>
      <c r="F145" s="0" t="s">
        <v>61</v>
      </c>
      <c r="G145" s="0" t="n">
        <v>100</v>
      </c>
      <c r="H145" s="0" t="n">
        <v>0.0707</v>
      </c>
      <c r="I145" s="0" t="n">
        <v>2</v>
      </c>
      <c r="J145" s="0" t="s">
        <v>62</v>
      </c>
      <c r="K145" s="0" t="s">
        <v>673</v>
      </c>
      <c r="L145" s="0" t="s">
        <v>674</v>
      </c>
      <c r="M145" s="0" t="s">
        <v>65</v>
      </c>
      <c r="N145" s="0" t="n">
        <v>2.3491</v>
      </c>
      <c r="O145" s="0" t="n">
        <v>5</v>
      </c>
      <c r="P145" s="0" t="n">
        <v>0.0772</v>
      </c>
      <c r="Q145" s="0" t="n">
        <v>98.8164</v>
      </c>
      <c r="R145" s="0" t="n">
        <v>1.3538</v>
      </c>
      <c r="S145" s="0" t="n">
        <v>99.788</v>
      </c>
      <c r="T145" s="0" t="n">
        <v>1.8992</v>
      </c>
      <c r="U145" s="0" t="n">
        <v>1.8286</v>
      </c>
      <c r="V145" s="0" t="n">
        <v>4.3248</v>
      </c>
      <c r="W145" s="0" t="n">
        <v>0.0181</v>
      </c>
      <c r="X145" s="0" t="n">
        <v>1.8286</v>
      </c>
      <c r="Y145" s="0" t="n">
        <v>4.3248</v>
      </c>
      <c r="Z145" s="0" t="n">
        <v>56</v>
      </c>
      <c r="AA145" s="0" t="n">
        <v>56</v>
      </c>
      <c r="AB145" s="0" t="n">
        <v>54</v>
      </c>
      <c r="AC145" s="0" t="s">
        <v>66</v>
      </c>
      <c r="AD145" s="0" t="n">
        <v>50000</v>
      </c>
      <c r="AE145" s="0" t="n">
        <v>49408.2</v>
      </c>
      <c r="AF145" s="0" t="n">
        <v>49408.2</v>
      </c>
      <c r="AG145" s="0" t="n">
        <v>0.001541</v>
      </c>
      <c r="AH145" s="4" t="b">
        <f aca="false">FALSE()</f>
        <v>0</v>
      </c>
      <c r="AJ145" s="4" t="b">
        <f aca="false">FALSE()</f>
        <v>0</v>
      </c>
      <c r="AK145" s="4" t="b">
        <f aca="false">FALSE()</f>
        <v>0</v>
      </c>
      <c r="AL145" s="0" t="s">
        <v>67</v>
      </c>
      <c r="AM145" s="0" t="n">
        <v>0.9088</v>
      </c>
      <c r="AN145" s="0" t="n">
        <v>-0.8981</v>
      </c>
      <c r="AO145" s="0" t="n">
        <v>1.8283</v>
      </c>
      <c r="AP145" s="0" t="n">
        <v>-1.7856</v>
      </c>
      <c r="AQ145" s="0" t="n">
        <v>3.6994</v>
      </c>
      <c r="AR145" s="0" t="n">
        <v>-3.5284</v>
      </c>
    </row>
    <row r="146" customFormat="false" ht="15" hidden="false" customHeight="false" outlineLevel="0" collapsed="false">
      <c r="A146" s="0" t="s">
        <v>675</v>
      </c>
      <c r="B146" s="0" t="s">
        <v>676</v>
      </c>
      <c r="C146" s="0" t="s">
        <v>591</v>
      </c>
      <c r="D146" s="0" t="s">
        <v>519</v>
      </c>
      <c r="E146" s="0" t="s">
        <v>520</v>
      </c>
      <c r="F146" s="0" t="s">
        <v>61</v>
      </c>
      <c r="G146" s="0" t="n">
        <v>100</v>
      </c>
      <c r="H146" s="0" t="n">
        <v>0.0847</v>
      </c>
      <c r="I146" s="0" t="n">
        <v>2</v>
      </c>
      <c r="J146" s="0" t="s">
        <v>62</v>
      </c>
      <c r="K146" s="0" t="s">
        <v>677</v>
      </c>
      <c r="L146" s="0" t="s">
        <v>678</v>
      </c>
      <c r="M146" s="0" t="s">
        <v>65</v>
      </c>
      <c r="N146" s="0" t="n">
        <v>3.3073</v>
      </c>
      <c r="O146" s="0" t="n">
        <v>5</v>
      </c>
      <c r="P146" s="0" t="n">
        <v>0.088</v>
      </c>
      <c r="Q146" s="0" t="n">
        <v>99.1462</v>
      </c>
      <c r="R146" s="0" t="n">
        <v>1.7294</v>
      </c>
      <c r="S146" s="0" t="n">
        <v>100.0759</v>
      </c>
      <c r="T146" s="0" t="n">
        <v>2.7098</v>
      </c>
      <c r="U146" s="0" t="n">
        <v>2.5956</v>
      </c>
      <c r="V146" s="0" t="n">
        <v>8.4001</v>
      </c>
      <c r="W146" s="0" t="n">
        <v>0.0257</v>
      </c>
      <c r="X146" s="0" t="n">
        <v>2.5956</v>
      </c>
      <c r="Y146" s="0" t="n">
        <v>8.4001</v>
      </c>
      <c r="Z146" s="0" t="n">
        <v>36</v>
      </c>
      <c r="AA146" s="0" t="n">
        <v>36</v>
      </c>
      <c r="AB146" s="0" t="n">
        <v>34</v>
      </c>
      <c r="AC146" s="0" t="s">
        <v>230</v>
      </c>
      <c r="AD146" s="0" t="n">
        <v>50000</v>
      </c>
      <c r="AE146" s="0" t="n">
        <v>49573.1</v>
      </c>
      <c r="AF146" s="0" t="n">
        <v>49573.1</v>
      </c>
      <c r="AG146" s="0" t="n">
        <v>0.001546</v>
      </c>
      <c r="AH146" s="4" t="b">
        <f aca="false">FALSE()</f>
        <v>0</v>
      </c>
      <c r="AJ146" s="4" t="b">
        <f aca="false">FALSE()</f>
        <v>0</v>
      </c>
      <c r="AK146" s="4" t="b">
        <f aca="false">FALSE()</f>
        <v>0</v>
      </c>
      <c r="AL146" s="0" t="s">
        <v>67</v>
      </c>
      <c r="AM146" s="0" t="n">
        <v>1.2971</v>
      </c>
      <c r="AN146" s="0" t="n">
        <v>-1.2763</v>
      </c>
      <c r="AO146" s="0" t="n">
        <v>2.6151</v>
      </c>
      <c r="AP146" s="0" t="n">
        <v>-2.5318</v>
      </c>
      <c r="AQ146" s="0" t="n">
        <v>5.3134</v>
      </c>
      <c r="AR146" s="0" t="n">
        <v>-4.9803</v>
      </c>
    </row>
    <row r="147" customFormat="false" ht="15" hidden="false" customHeight="false" outlineLevel="0" collapsed="false">
      <c r="A147" s="0" t="s">
        <v>679</v>
      </c>
      <c r="B147" s="0" t="s">
        <v>680</v>
      </c>
      <c r="C147" s="0" t="s">
        <v>606</v>
      </c>
      <c r="D147" s="0" t="s">
        <v>519</v>
      </c>
      <c r="E147" s="0" t="s">
        <v>520</v>
      </c>
      <c r="F147" s="0" t="s">
        <v>61</v>
      </c>
      <c r="G147" s="0" t="n">
        <v>100</v>
      </c>
      <c r="H147" s="0" t="n">
        <v>0.0861</v>
      </c>
      <c r="I147" s="0" t="n">
        <v>2</v>
      </c>
      <c r="J147" s="0" t="s">
        <v>62</v>
      </c>
      <c r="K147" s="0" t="s">
        <v>681</v>
      </c>
      <c r="L147" s="0" t="s">
        <v>682</v>
      </c>
      <c r="M147" s="0" t="s">
        <v>65</v>
      </c>
      <c r="N147" s="0" t="n">
        <v>3.3046</v>
      </c>
      <c r="O147" s="0" t="n">
        <v>7</v>
      </c>
      <c r="P147" s="0" t="n">
        <v>0.0828</v>
      </c>
      <c r="Q147" s="0" t="n">
        <v>100.861</v>
      </c>
      <c r="R147" s="0" t="n">
        <v>0.6299</v>
      </c>
      <c r="S147" s="0" t="n">
        <v>102.0938</v>
      </c>
      <c r="T147" s="0" t="n">
        <v>2.7084</v>
      </c>
      <c r="U147" s="0" t="n">
        <v>2.6007</v>
      </c>
      <c r="V147" s="0" t="n">
        <v>8.4355</v>
      </c>
      <c r="W147" s="0" t="n">
        <v>0.0262</v>
      </c>
      <c r="X147" s="0" t="n">
        <v>2.6007</v>
      </c>
      <c r="Y147" s="0" t="n">
        <v>8.4355</v>
      </c>
      <c r="Z147" s="0" t="n">
        <v>40</v>
      </c>
      <c r="AA147" s="0" t="n">
        <v>40</v>
      </c>
      <c r="AB147" s="0" t="n">
        <v>38</v>
      </c>
      <c r="AC147" s="0" t="s">
        <v>230</v>
      </c>
      <c r="AD147" s="0" t="n">
        <v>10000</v>
      </c>
      <c r="AE147" s="0" t="n">
        <v>10086.1</v>
      </c>
      <c r="AF147" s="0" t="n">
        <v>10086.1</v>
      </c>
      <c r="AG147" s="0" t="n">
        <v>0.000315</v>
      </c>
      <c r="AH147" s="4" t="b">
        <f aca="false">FALSE()</f>
        <v>0</v>
      </c>
      <c r="AJ147" s="4" t="b">
        <f aca="false">FALSE()</f>
        <v>0</v>
      </c>
      <c r="AK147" s="4" t="b">
        <f aca="false">FALSE()</f>
        <v>0</v>
      </c>
      <c r="AL147" s="0" t="s">
        <v>67</v>
      </c>
      <c r="AM147" s="0" t="n">
        <v>1.3222</v>
      </c>
      <c r="AN147" s="0" t="n">
        <v>-1.3009</v>
      </c>
      <c r="AO147" s="0" t="n">
        <v>2.6656</v>
      </c>
      <c r="AP147" s="0" t="n">
        <v>-2.5806</v>
      </c>
      <c r="AQ147" s="0" t="n">
        <v>5.4163</v>
      </c>
      <c r="AR147" s="0" t="n">
        <v>-5.076</v>
      </c>
    </row>
    <row r="148" customFormat="false" ht="15" hidden="false" customHeight="false" outlineLevel="0" collapsed="false">
      <c r="A148" s="0" t="s">
        <v>683</v>
      </c>
      <c r="B148" s="0" t="s">
        <v>684</v>
      </c>
      <c r="C148" s="0" t="s">
        <v>535</v>
      </c>
      <c r="D148" s="0" t="s">
        <v>526</v>
      </c>
      <c r="E148" s="0" t="s">
        <v>520</v>
      </c>
      <c r="F148" s="0" t="s">
        <v>61</v>
      </c>
      <c r="G148" s="0" t="n">
        <v>100</v>
      </c>
      <c r="H148" s="0" t="n">
        <v>0.0728</v>
      </c>
      <c r="I148" s="0" t="n">
        <v>2</v>
      </c>
      <c r="J148" s="0" t="s">
        <v>62</v>
      </c>
      <c r="K148" s="0" t="s">
        <v>557</v>
      </c>
      <c r="L148" s="0" t="s">
        <v>685</v>
      </c>
      <c r="M148" s="0" t="s">
        <v>65</v>
      </c>
      <c r="N148" s="0" t="n">
        <v>2.36</v>
      </c>
      <c r="O148" s="0" t="n">
        <v>6</v>
      </c>
      <c r="P148" s="0" t="n">
        <v>0.0799</v>
      </c>
      <c r="Q148" s="0" t="n">
        <v>98.7112</v>
      </c>
      <c r="R148" s="0" t="n">
        <v>1.3994</v>
      </c>
      <c r="S148" s="0" t="n">
        <v>99.4444</v>
      </c>
      <c r="T148" s="0" t="n">
        <v>1.8963</v>
      </c>
      <c r="U148" s="0" t="n">
        <v>1.8235</v>
      </c>
      <c r="V148" s="0" t="n">
        <v>4.3047</v>
      </c>
      <c r="W148" s="0" t="n">
        <v>0.018</v>
      </c>
      <c r="X148" s="0" t="n">
        <v>1.8235</v>
      </c>
      <c r="Y148" s="0" t="n">
        <v>4.3047</v>
      </c>
      <c r="Z148" s="0" t="n">
        <v>60</v>
      </c>
      <c r="AA148" s="0" t="n">
        <v>60</v>
      </c>
      <c r="AB148" s="0" t="n">
        <v>63</v>
      </c>
      <c r="AC148" s="0" t="s">
        <v>66</v>
      </c>
      <c r="AD148" s="0" t="n">
        <v>5000</v>
      </c>
      <c r="AE148" s="0" t="n">
        <v>4935.56</v>
      </c>
      <c r="AF148" s="0" t="n">
        <v>4935.56</v>
      </c>
      <c r="AG148" s="0" t="n">
        <v>0.000154</v>
      </c>
      <c r="AH148" s="4" t="b">
        <f aca="false">FALSE()</f>
        <v>0</v>
      </c>
      <c r="AJ148" s="4" t="b">
        <f aca="false">FALSE()</f>
        <v>0</v>
      </c>
      <c r="AK148" s="4" t="b">
        <f aca="false">FALSE()</f>
        <v>0</v>
      </c>
      <c r="AL148" s="0" t="s">
        <v>67</v>
      </c>
      <c r="AM148" s="0" t="n">
        <v>0.9053</v>
      </c>
      <c r="AN148" s="0" t="n">
        <v>-0.8947</v>
      </c>
      <c r="AO148" s="0" t="n">
        <v>1.8212</v>
      </c>
      <c r="AP148" s="0" t="n">
        <v>-1.7788</v>
      </c>
      <c r="AQ148" s="0" t="n">
        <v>3.685</v>
      </c>
      <c r="AR148" s="0" t="n">
        <v>-3.515</v>
      </c>
    </row>
    <row r="149" customFormat="false" ht="15" hidden="false" customHeight="false" outlineLevel="0" collapsed="false">
      <c r="A149" s="0" t="s">
        <v>686</v>
      </c>
      <c r="B149" s="0" t="s">
        <v>687</v>
      </c>
      <c r="C149" s="0" t="s">
        <v>546</v>
      </c>
      <c r="D149" s="0" t="s">
        <v>526</v>
      </c>
      <c r="E149" s="0" t="s">
        <v>520</v>
      </c>
      <c r="F149" s="0" t="s">
        <v>61</v>
      </c>
      <c r="G149" s="0" t="n">
        <v>100</v>
      </c>
      <c r="H149" s="0" t="n">
        <v>0.078</v>
      </c>
      <c r="I149" s="0" t="n">
        <v>2</v>
      </c>
      <c r="J149" s="0" t="s">
        <v>62</v>
      </c>
      <c r="K149" s="0" t="s">
        <v>688</v>
      </c>
      <c r="L149" s="0" t="s">
        <v>689</v>
      </c>
      <c r="M149" s="0" t="s">
        <v>65</v>
      </c>
      <c r="N149" s="0" t="n">
        <v>1.7276</v>
      </c>
      <c r="O149" s="0" t="n">
        <v>8</v>
      </c>
      <c r="P149" s="0" t="n">
        <v>0.0814</v>
      </c>
      <c r="Q149" s="0" t="n">
        <v>99.5289</v>
      </c>
      <c r="R149" s="0" t="n">
        <v>1.0673</v>
      </c>
      <c r="S149" s="0" t="n">
        <v>99.7836</v>
      </c>
      <c r="T149" s="0" t="n">
        <v>1.4443</v>
      </c>
      <c r="U149" s="0" t="n">
        <v>1.3878</v>
      </c>
      <c r="V149" s="0" t="n">
        <v>2.6329</v>
      </c>
      <c r="W149" s="0" t="n">
        <v>0.0138</v>
      </c>
      <c r="X149" s="0" t="n">
        <v>1.3878</v>
      </c>
      <c r="Y149" s="0" t="n">
        <v>2.6329</v>
      </c>
      <c r="Z149" s="0" t="n">
        <v>73</v>
      </c>
      <c r="AA149" s="0" t="n">
        <v>73</v>
      </c>
      <c r="AB149" s="0" t="n">
        <v>83</v>
      </c>
      <c r="AC149" s="0" t="s">
        <v>91</v>
      </c>
      <c r="AD149" s="0" t="n">
        <v>20000</v>
      </c>
      <c r="AE149" s="0" t="n">
        <v>19905.78</v>
      </c>
      <c r="AF149" s="0" t="n">
        <v>19905.78</v>
      </c>
      <c r="AG149" s="0" t="n">
        <v>0.000621</v>
      </c>
      <c r="AH149" s="4" t="b">
        <f aca="false">FALSE()</f>
        <v>0</v>
      </c>
      <c r="AJ149" s="4" t="b">
        <f aca="false">FALSE()</f>
        <v>0</v>
      </c>
      <c r="AK149" s="4" t="b">
        <f aca="false">FALSE()</f>
        <v>0</v>
      </c>
      <c r="AL149" s="0" t="s">
        <v>67</v>
      </c>
      <c r="AM149" s="0" t="n">
        <v>0.6939</v>
      </c>
      <c r="AN149" s="0" t="n">
        <v>-0.6874</v>
      </c>
      <c r="AO149" s="0" t="n">
        <v>1.3944</v>
      </c>
      <c r="AP149" s="0" t="n">
        <v>-1.3682</v>
      </c>
      <c r="AQ149" s="0" t="n">
        <v>2.8149</v>
      </c>
      <c r="AR149" s="0" t="n">
        <v>-2.7101</v>
      </c>
    </row>
    <row r="150" customFormat="false" ht="15" hidden="false" customHeight="false" outlineLevel="0" collapsed="false">
      <c r="A150" s="0" t="s">
        <v>690</v>
      </c>
      <c r="B150" s="0" t="s">
        <v>691</v>
      </c>
      <c r="C150" s="0" t="s">
        <v>606</v>
      </c>
      <c r="D150" s="0" t="s">
        <v>526</v>
      </c>
      <c r="E150" s="0" t="s">
        <v>520</v>
      </c>
      <c r="F150" s="0" t="s">
        <v>61</v>
      </c>
      <c r="G150" s="0" t="n">
        <v>100</v>
      </c>
      <c r="H150" s="0" t="n">
        <v>0.0898</v>
      </c>
      <c r="I150" s="0" t="n">
        <v>2</v>
      </c>
      <c r="J150" s="0" t="s">
        <v>62</v>
      </c>
      <c r="K150" s="0" t="s">
        <v>692</v>
      </c>
      <c r="L150" s="0" t="s">
        <v>693</v>
      </c>
      <c r="M150" s="0" t="s">
        <v>65</v>
      </c>
      <c r="N150" s="0" t="n">
        <v>6.0808</v>
      </c>
      <c r="O150" s="0" t="n">
        <v>8</v>
      </c>
      <c r="P150" s="0" t="n">
        <v>0.084</v>
      </c>
      <c r="Q150" s="0" t="n">
        <v>102.6904</v>
      </c>
      <c r="R150" s="0" t="n">
        <v>0.3569</v>
      </c>
      <c r="S150" s="0" t="n">
        <v>104.7844</v>
      </c>
      <c r="T150" s="0" t="n">
        <v>4.7855</v>
      </c>
      <c r="U150" s="0" t="n">
        <v>4.5926</v>
      </c>
      <c r="V150" s="0" t="n">
        <v>26.3858</v>
      </c>
      <c r="W150" s="0" t="n">
        <v>0.0472</v>
      </c>
      <c r="X150" s="0" t="n">
        <v>4.5926</v>
      </c>
      <c r="Y150" s="0" t="n">
        <v>26.3858</v>
      </c>
      <c r="Z150" s="0" t="n">
        <v>76</v>
      </c>
      <c r="AA150" s="0" t="n">
        <v>76</v>
      </c>
      <c r="AB150" s="0" t="n">
        <v>79</v>
      </c>
      <c r="AC150" s="0" t="s">
        <v>77</v>
      </c>
      <c r="AD150" s="0" t="n">
        <v>10000</v>
      </c>
      <c r="AE150" s="0" t="n">
        <v>10269.04</v>
      </c>
      <c r="AF150" s="0" t="n">
        <v>10269.04</v>
      </c>
      <c r="AG150" s="0" t="n">
        <v>0.00032</v>
      </c>
      <c r="AH150" s="4" t="b">
        <f aca="false">FALSE()</f>
        <v>0</v>
      </c>
      <c r="AJ150" s="4" t="b">
        <f aca="false">FALSE()</f>
        <v>0</v>
      </c>
      <c r="AK150" s="4" t="b">
        <f aca="false">FALSE()</f>
        <v>0</v>
      </c>
      <c r="AL150" s="0" t="s">
        <v>67</v>
      </c>
      <c r="AM150" s="0" t="n">
        <v>2.3919</v>
      </c>
      <c r="AN150" s="0" t="n">
        <v>-2.3242</v>
      </c>
      <c r="AO150" s="0" t="n">
        <v>4.8516</v>
      </c>
      <c r="AP150" s="0" t="n">
        <v>-4.5807</v>
      </c>
      <c r="AQ150" s="0" t="n">
        <v>9.9742</v>
      </c>
      <c r="AR150" s="0" t="n">
        <v>-8.8904</v>
      </c>
    </row>
    <row r="151" customFormat="false" ht="15" hidden="false" customHeight="false" outlineLevel="0" collapsed="false">
      <c r="A151" s="0" t="s">
        <v>694</v>
      </c>
      <c r="B151" s="0" t="s">
        <v>695</v>
      </c>
      <c r="C151" s="0" t="s">
        <v>551</v>
      </c>
      <c r="D151" s="0" t="s">
        <v>536</v>
      </c>
      <c r="E151" s="0" t="s">
        <v>520</v>
      </c>
      <c r="F151" s="0" t="s">
        <v>61</v>
      </c>
      <c r="G151" s="0" t="n">
        <v>100</v>
      </c>
      <c r="H151" s="0" t="n">
        <v>0.0831</v>
      </c>
      <c r="I151" s="0" t="n">
        <v>2</v>
      </c>
      <c r="J151" s="0" t="s">
        <v>62</v>
      </c>
      <c r="K151" s="0" t="s">
        <v>696</v>
      </c>
      <c r="L151" s="0" t="s">
        <v>697</v>
      </c>
      <c r="M151" s="0" t="s">
        <v>65</v>
      </c>
      <c r="N151" s="0" t="n">
        <v>2.4969</v>
      </c>
      <c r="O151" s="0" t="n">
        <v>3</v>
      </c>
      <c r="P151" s="0" t="n">
        <v>0.0812</v>
      </c>
      <c r="Q151" s="0" t="n">
        <v>100.3444</v>
      </c>
      <c r="R151" s="0" t="n">
        <v>1.4127</v>
      </c>
      <c r="S151" s="0" t="n">
        <v>100.3637</v>
      </c>
      <c r="T151" s="0" t="n">
        <v>1.8837</v>
      </c>
      <c r="U151" s="0" t="n">
        <v>1.8102</v>
      </c>
      <c r="V151" s="0" t="n">
        <v>4.2606</v>
      </c>
      <c r="W151" s="0" t="n">
        <v>0.0182</v>
      </c>
      <c r="X151" s="0" t="n">
        <v>1.8102</v>
      </c>
      <c r="Y151" s="0" t="n">
        <v>4.2606</v>
      </c>
      <c r="Z151" s="0" t="n">
        <v>57</v>
      </c>
      <c r="AA151" s="0" t="n">
        <v>57</v>
      </c>
      <c r="AB151" s="0" t="n">
        <v>62</v>
      </c>
      <c r="AC151" s="0" t="s">
        <v>66</v>
      </c>
      <c r="AD151" s="0" t="n">
        <v>10000</v>
      </c>
      <c r="AE151" s="0" t="n">
        <v>10034.44</v>
      </c>
      <c r="AF151" s="0" t="n">
        <v>10034.44</v>
      </c>
      <c r="AG151" s="0" t="n">
        <v>0.000313</v>
      </c>
      <c r="AH151" s="4" t="b">
        <f aca="false">FALSE()</f>
        <v>0</v>
      </c>
      <c r="AJ151" s="4" t="b">
        <f aca="false">FALSE()</f>
        <v>0</v>
      </c>
      <c r="AK151" s="4" t="b">
        <f aca="false">FALSE()</f>
        <v>0</v>
      </c>
      <c r="AL151" s="0" t="s">
        <v>67</v>
      </c>
      <c r="AM151" s="0" t="n">
        <v>0.9136</v>
      </c>
      <c r="AN151" s="0" t="n">
        <v>-0.9029</v>
      </c>
      <c r="AO151" s="0" t="n">
        <v>1.8378</v>
      </c>
      <c r="AP151" s="0" t="n">
        <v>-1.7951</v>
      </c>
      <c r="AQ151" s="0" t="n">
        <v>3.7184</v>
      </c>
      <c r="AR151" s="0" t="n">
        <v>-3.5474</v>
      </c>
    </row>
    <row r="152" customFormat="false" ht="15" hidden="false" customHeight="false" outlineLevel="0" collapsed="false">
      <c r="A152" s="0" t="s">
        <v>698</v>
      </c>
      <c r="B152" s="0" t="s">
        <v>699</v>
      </c>
      <c r="C152" s="0" t="s">
        <v>551</v>
      </c>
      <c r="D152" s="0" t="s">
        <v>526</v>
      </c>
      <c r="E152" s="0" t="s">
        <v>520</v>
      </c>
      <c r="F152" s="0" t="s">
        <v>61</v>
      </c>
      <c r="G152" s="0" t="n">
        <v>100</v>
      </c>
      <c r="H152" s="0" t="n">
        <v>0.0876</v>
      </c>
      <c r="I152" s="0" t="n">
        <v>2</v>
      </c>
      <c r="J152" s="0" t="s">
        <v>62</v>
      </c>
      <c r="K152" s="0" t="s">
        <v>700</v>
      </c>
      <c r="L152" s="0" t="s">
        <v>701</v>
      </c>
      <c r="M152" s="0" t="s">
        <v>65</v>
      </c>
      <c r="N152" s="0" t="n">
        <v>2.3518</v>
      </c>
      <c r="O152" s="0" t="n">
        <v>4</v>
      </c>
      <c r="P152" s="0" t="n">
        <v>0.0856</v>
      </c>
      <c r="Q152" s="0" t="n">
        <v>100.3606</v>
      </c>
      <c r="R152" s="0" t="n">
        <v>1.4829</v>
      </c>
      <c r="S152" s="0" t="n">
        <v>100.5104</v>
      </c>
      <c r="T152" s="0" t="n">
        <v>1.8778</v>
      </c>
      <c r="U152" s="0" t="n">
        <v>1.8007</v>
      </c>
      <c r="V152" s="0" t="n">
        <v>4.2248</v>
      </c>
      <c r="W152" s="0" t="n">
        <v>0.0181</v>
      </c>
      <c r="X152" s="0" t="n">
        <v>1.8007</v>
      </c>
      <c r="Y152" s="0" t="n">
        <v>4.2248</v>
      </c>
      <c r="Z152" s="0" t="n">
        <v>28</v>
      </c>
      <c r="AA152" s="0" t="n">
        <v>28</v>
      </c>
      <c r="AB152" s="0" t="n">
        <v>23</v>
      </c>
      <c r="AC152" s="0" t="s">
        <v>66</v>
      </c>
      <c r="AD152" s="0" t="n">
        <v>500000</v>
      </c>
      <c r="AE152" s="0" t="n">
        <v>501803</v>
      </c>
      <c r="AF152" s="0" t="n">
        <v>501803</v>
      </c>
      <c r="AG152" s="0" t="n">
        <v>0.015652</v>
      </c>
      <c r="AH152" s="4" t="b">
        <f aca="false">FALSE()</f>
        <v>0</v>
      </c>
      <c r="AJ152" s="4" t="b">
        <f aca="false">FALSE()</f>
        <v>0</v>
      </c>
      <c r="AK152" s="4" t="b">
        <f aca="false">FALSE()</f>
        <v>0</v>
      </c>
      <c r="AL152" s="0" t="s">
        <v>67</v>
      </c>
      <c r="AM152" s="0" t="n">
        <v>0.9089</v>
      </c>
      <c r="AN152" s="0" t="n">
        <v>-0.8983</v>
      </c>
      <c r="AO152" s="0" t="n">
        <v>1.8284</v>
      </c>
      <c r="AP152" s="0" t="n">
        <v>-1.786</v>
      </c>
      <c r="AQ152" s="0" t="n">
        <v>3.6992</v>
      </c>
      <c r="AR152" s="0" t="n">
        <v>-3.5296</v>
      </c>
    </row>
    <row r="153" customFormat="false" ht="15" hidden="false" customHeight="false" outlineLevel="0" collapsed="false">
      <c r="A153" s="0" t="s">
        <v>702</v>
      </c>
      <c r="B153" s="0" t="s">
        <v>703</v>
      </c>
      <c r="C153" s="0" t="s">
        <v>591</v>
      </c>
      <c r="D153" s="0" t="s">
        <v>536</v>
      </c>
      <c r="E153" s="0" t="s">
        <v>520</v>
      </c>
      <c r="F153" s="0" t="s">
        <v>61</v>
      </c>
      <c r="G153" s="0" t="n">
        <v>100</v>
      </c>
      <c r="H153" s="0" t="n">
        <v>0.0879</v>
      </c>
      <c r="I153" s="0" t="n">
        <v>2</v>
      </c>
      <c r="J153" s="0" t="s">
        <v>62</v>
      </c>
      <c r="K153" s="0" t="s">
        <v>704</v>
      </c>
      <c r="L153" s="0" t="s">
        <v>705</v>
      </c>
      <c r="M153" s="0" t="s">
        <v>65</v>
      </c>
      <c r="N153" s="0" t="n">
        <v>1.243</v>
      </c>
      <c r="O153" s="0" t="n">
        <v>4</v>
      </c>
      <c r="P153" s="0" t="n">
        <v>0.0827</v>
      </c>
      <c r="Q153" s="0" t="n">
        <v>100.4894</v>
      </c>
      <c r="R153" s="0" t="n">
        <v>0.6911</v>
      </c>
      <c r="S153" s="0" t="n">
        <v>100.7967</v>
      </c>
      <c r="T153" s="0" t="n">
        <v>0.979</v>
      </c>
      <c r="U153" s="0" t="n">
        <v>0.9401</v>
      </c>
      <c r="V153" s="0" t="n">
        <v>1.3445</v>
      </c>
      <c r="W153" s="0" t="n">
        <v>0.0094</v>
      </c>
      <c r="X153" s="0" t="n">
        <v>0.9401</v>
      </c>
      <c r="Y153" s="0" t="n">
        <v>1.3445</v>
      </c>
      <c r="Z153" s="0" t="n">
        <v>42</v>
      </c>
      <c r="AA153" s="0" t="n">
        <v>42</v>
      </c>
      <c r="AB153" s="0" t="n">
        <v>45</v>
      </c>
      <c r="AC153" s="0" t="s">
        <v>91</v>
      </c>
      <c r="AD153" s="0" t="n">
        <v>50000</v>
      </c>
      <c r="AE153" s="0" t="n">
        <v>50244.7</v>
      </c>
      <c r="AF153" s="0" t="n">
        <v>50244.7</v>
      </c>
      <c r="AG153" s="0" t="n">
        <v>0.001567</v>
      </c>
      <c r="AH153" s="4" t="b">
        <f aca="false">FALSE()</f>
        <v>0</v>
      </c>
      <c r="AJ153" s="4" t="b">
        <f aca="false">FALSE()</f>
        <v>0</v>
      </c>
      <c r="AK153" s="4" t="b">
        <f aca="false">FALSE()</f>
        <v>0</v>
      </c>
      <c r="AL153" s="0" t="s">
        <v>67</v>
      </c>
      <c r="AM153" s="0" t="n">
        <v>0.474</v>
      </c>
      <c r="AN153" s="0" t="n">
        <v>-0.4707</v>
      </c>
      <c r="AO153" s="0" t="n">
        <v>0.9515</v>
      </c>
      <c r="AP153" s="0" t="n">
        <v>-0.9379</v>
      </c>
      <c r="AQ153" s="0" t="n">
        <v>1.9164</v>
      </c>
      <c r="AR153" s="0" t="n">
        <v>-1.8624</v>
      </c>
    </row>
    <row r="154" customFormat="false" ht="15" hidden="false" customHeight="false" outlineLevel="0" collapsed="false">
      <c r="A154" s="0" t="s">
        <v>706</v>
      </c>
      <c r="B154" s="0" t="s">
        <v>707</v>
      </c>
      <c r="C154" s="0" t="s">
        <v>600</v>
      </c>
      <c r="D154" s="0" t="s">
        <v>519</v>
      </c>
      <c r="E154" s="0" t="s">
        <v>520</v>
      </c>
      <c r="F154" s="0" t="s">
        <v>61</v>
      </c>
      <c r="G154" s="0" t="n">
        <v>100</v>
      </c>
      <c r="H154" s="0" t="n">
        <v>0.0821</v>
      </c>
      <c r="I154" s="0" t="n">
        <v>2</v>
      </c>
      <c r="J154" s="0" t="s">
        <v>62</v>
      </c>
      <c r="K154" s="0" t="s">
        <v>708</v>
      </c>
      <c r="L154" s="0" t="s">
        <v>709</v>
      </c>
      <c r="M154" s="0" t="s">
        <v>65</v>
      </c>
      <c r="N154" s="0" t="n">
        <v>1.5086</v>
      </c>
      <c r="O154" s="0" t="n">
        <v>5</v>
      </c>
      <c r="P154" s="0" t="n">
        <v>0.0788</v>
      </c>
      <c r="Q154" s="0" t="n">
        <v>100.4584</v>
      </c>
      <c r="R154" s="0" t="n">
        <v>1.9595</v>
      </c>
      <c r="S154" s="0" t="n">
        <v>101.4742</v>
      </c>
      <c r="T154" s="0" t="n">
        <v>1.4418</v>
      </c>
      <c r="U154" s="0" t="n">
        <v>1.3871</v>
      </c>
      <c r="V154" s="0" t="n">
        <v>2.6334</v>
      </c>
      <c r="W154" s="0" t="n">
        <v>0.0139</v>
      </c>
      <c r="X154" s="0" t="n">
        <v>1.3871</v>
      </c>
      <c r="Y154" s="0" t="n">
        <v>2.6334</v>
      </c>
      <c r="Z154" s="0" t="n">
        <v>70</v>
      </c>
      <c r="AA154" s="0" t="n">
        <v>70</v>
      </c>
      <c r="AB154" s="0" t="n">
        <v>68</v>
      </c>
      <c r="AC154" s="0" t="s">
        <v>91</v>
      </c>
      <c r="AD154" s="0" t="n">
        <v>5000</v>
      </c>
      <c r="AE154" s="0" t="n">
        <v>5022.92</v>
      </c>
      <c r="AF154" s="0" t="n">
        <v>5022.92</v>
      </c>
      <c r="AG154" s="0" t="n">
        <v>0.000157</v>
      </c>
      <c r="AH154" s="4" t="b">
        <f aca="false">FALSE()</f>
        <v>0</v>
      </c>
      <c r="AJ154" s="4" t="b">
        <f aca="false">FALSE()</f>
        <v>0</v>
      </c>
      <c r="AK154" s="4" t="b">
        <f aca="false">FALSE()</f>
        <v>0</v>
      </c>
      <c r="AL154" s="0" t="s">
        <v>67</v>
      </c>
      <c r="AM154" s="0" t="n">
        <v>0.7</v>
      </c>
      <c r="AN154" s="0" t="n">
        <v>-0.6934</v>
      </c>
      <c r="AO154" s="0" t="n">
        <v>1.4067</v>
      </c>
      <c r="AP154" s="0" t="n">
        <v>-1.3802</v>
      </c>
      <c r="AQ154" s="0" t="n">
        <v>2.8398</v>
      </c>
      <c r="AR154" s="0" t="n">
        <v>-2.734</v>
      </c>
    </row>
    <row r="155" customFormat="false" ht="15" hidden="false" customHeight="false" outlineLevel="0" collapsed="false">
      <c r="A155" s="0" t="s">
        <v>710</v>
      </c>
      <c r="B155" s="0" t="s">
        <v>711</v>
      </c>
      <c r="C155" s="0" t="s">
        <v>518</v>
      </c>
      <c r="D155" s="0" t="s">
        <v>526</v>
      </c>
      <c r="E155" s="0" t="s">
        <v>520</v>
      </c>
      <c r="F155" s="0" t="s">
        <v>61</v>
      </c>
      <c r="G155" s="0" t="n">
        <v>100</v>
      </c>
      <c r="H155" s="0" t="n">
        <v>0.0773</v>
      </c>
      <c r="I155" s="0" t="n">
        <v>2</v>
      </c>
      <c r="J155" s="0" t="s">
        <v>62</v>
      </c>
      <c r="K155" s="0" t="s">
        <v>712</v>
      </c>
      <c r="L155" s="0" t="s">
        <v>713</v>
      </c>
      <c r="M155" s="0" t="s">
        <v>65</v>
      </c>
      <c r="N155" s="0" t="n">
        <v>1.2129</v>
      </c>
      <c r="O155" s="0" t="n">
        <v>4</v>
      </c>
      <c r="P155" s="0" t="n">
        <v>0.0874</v>
      </c>
      <c r="Q155" s="0" t="n">
        <v>99.0525</v>
      </c>
      <c r="R155" s="0" t="n">
        <v>0.0267</v>
      </c>
      <c r="S155" s="0" t="n">
        <v>99.4694</v>
      </c>
      <c r="T155" s="0" t="n">
        <v>0.9813</v>
      </c>
      <c r="U155" s="0" t="n">
        <v>0.9402</v>
      </c>
      <c r="V155" s="0" t="n">
        <v>1.3427</v>
      </c>
      <c r="W155" s="0" t="n">
        <v>0.0093</v>
      </c>
      <c r="X155" s="0" t="n">
        <v>0.9799</v>
      </c>
      <c r="Y155" s="0" t="n">
        <v>1.3324</v>
      </c>
      <c r="Z155" s="0" t="n">
        <v>24</v>
      </c>
      <c r="AA155" s="0" t="n">
        <v>12</v>
      </c>
      <c r="AB155" s="0" t="n">
        <v>31</v>
      </c>
      <c r="AC155" s="0" t="s">
        <v>91</v>
      </c>
      <c r="AD155" s="0" t="n">
        <v>500000</v>
      </c>
      <c r="AE155" s="0" t="n">
        <v>495262.5</v>
      </c>
      <c r="AF155" s="0" t="n">
        <v>495262.5</v>
      </c>
      <c r="AG155" s="0" t="n">
        <v>0.015448</v>
      </c>
      <c r="AH155" s="4" t="b">
        <f aca="false">TRUE()</f>
        <v>1</v>
      </c>
      <c r="AI155" s="0" t="s">
        <v>714</v>
      </c>
      <c r="AJ155" s="4" t="b">
        <f aca="false">FALSE()</f>
        <v>0</v>
      </c>
      <c r="AK155" s="4" t="b">
        <f aca="false">FALSE()</f>
        <v>0</v>
      </c>
      <c r="AL155" s="0" t="s">
        <v>67</v>
      </c>
      <c r="AM155" s="0" t="n">
        <v>0.4673</v>
      </c>
      <c r="AN155" s="0" t="n">
        <v>-0.464</v>
      </c>
      <c r="AO155" s="0" t="n">
        <v>0.9379</v>
      </c>
      <c r="AP155" s="0" t="n">
        <v>-0.9246</v>
      </c>
      <c r="AQ155" s="0" t="n">
        <v>1.8892</v>
      </c>
      <c r="AR155" s="0" t="n">
        <v>-1.836</v>
      </c>
    </row>
    <row r="156" customFormat="false" ht="15" hidden="false" customHeight="false" outlineLevel="0" collapsed="false">
      <c r="A156" s="0" t="s">
        <v>715</v>
      </c>
      <c r="B156" s="0" t="s">
        <v>716</v>
      </c>
      <c r="C156" s="0" t="s">
        <v>562</v>
      </c>
      <c r="D156" s="0" t="s">
        <v>526</v>
      </c>
      <c r="E156" s="0" t="s">
        <v>520</v>
      </c>
      <c r="F156" s="0" t="s">
        <v>61</v>
      </c>
      <c r="G156" s="0" t="n">
        <v>100</v>
      </c>
      <c r="H156" s="0" t="n">
        <v>0.0717</v>
      </c>
      <c r="I156" s="0" t="n">
        <v>2</v>
      </c>
      <c r="J156" s="0" t="s">
        <v>62</v>
      </c>
      <c r="K156" s="0" t="s">
        <v>717</v>
      </c>
      <c r="L156" s="0" t="s">
        <v>718</v>
      </c>
      <c r="M156" s="0" t="s">
        <v>65</v>
      </c>
      <c r="N156" s="0" t="n">
        <v>1.4784</v>
      </c>
      <c r="O156" s="0" t="n">
        <v>3</v>
      </c>
      <c r="P156" s="0" t="n">
        <v>0.0776</v>
      </c>
      <c r="Q156" s="0" t="n">
        <v>99.4426</v>
      </c>
      <c r="R156" s="0" t="n">
        <v>0.7004</v>
      </c>
      <c r="S156" s="0" t="n">
        <v>100.5796</v>
      </c>
      <c r="T156" s="0" t="n">
        <v>0.9826</v>
      </c>
      <c r="U156" s="0" t="n">
        <v>0.9459</v>
      </c>
      <c r="V156" s="0" t="n">
        <v>1.3579</v>
      </c>
      <c r="W156" s="0" t="n">
        <v>0.0094</v>
      </c>
      <c r="X156" s="0" t="n">
        <v>0.9459</v>
      </c>
      <c r="Y156" s="0" t="n">
        <v>1.3579</v>
      </c>
      <c r="Z156" s="0" t="n">
        <v>29</v>
      </c>
      <c r="AA156" s="0" t="n">
        <v>29</v>
      </c>
      <c r="AB156" s="0" t="n">
        <v>26</v>
      </c>
      <c r="AC156" s="0" t="s">
        <v>91</v>
      </c>
      <c r="AD156" s="0" t="n">
        <v>500000</v>
      </c>
      <c r="AE156" s="0" t="n">
        <v>497213</v>
      </c>
      <c r="AF156" s="0" t="n">
        <v>497213</v>
      </c>
      <c r="AG156" s="0" t="n">
        <v>0.015509</v>
      </c>
      <c r="AH156" s="4" t="b">
        <f aca="false">FALSE()</f>
        <v>0</v>
      </c>
      <c r="AJ156" s="4" t="b">
        <f aca="false">FALSE()</f>
        <v>0</v>
      </c>
      <c r="AK156" s="4" t="b">
        <f aca="false">FALSE()</f>
        <v>0</v>
      </c>
      <c r="AL156" s="0" t="s">
        <v>67</v>
      </c>
      <c r="AM156" s="0" t="n">
        <v>0.472</v>
      </c>
      <c r="AN156" s="0" t="n">
        <v>-0.4686</v>
      </c>
      <c r="AO156" s="0" t="n">
        <v>0.9474</v>
      </c>
      <c r="AP156" s="0" t="n">
        <v>-0.9339</v>
      </c>
      <c r="AQ156" s="0" t="n">
        <v>1.9083</v>
      </c>
      <c r="AR156" s="0" t="n">
        <v>-1.8542</v>
      </c>
    </row>
    <row r="157" customFormat="false" ht="15" hidden="false" customHeight="false" outlineLevel="0" collapsed="false">
      <c r="A157" s="0" t="s">
        <v>719</v>
      </c>
      <c r="B157" s="0" t="s">
        <v>720</v>
      </c>
      <c r="C157" s="0" t="s">
        <v>541</v>
      </c>
      <c r="D157" s="0" t="s">
        <v>536</v>
      </c>
      <c r="E157" s="0" t="s">
        <v>520</v>
      </c>
      <c r="F157" s="0" t="s">
        <v>61</v>
      </c>
      <c r="G157" s="0" t="n">
        <v>100</v>
      </c>
      <c r="H157" s="0" t="n">
        <v>0.0711</v>
      </c>
      <c r="I157" s="0" t="n">
        <v>2</v>
      </c>
      <c r="J157" s="0" t="s">
        <v>62</v>
      </c>
      <c r="K157" s="0" t="s">
        <v>721</v>
      </c>
      <c r="L157" s="0" t="s">
        <v>722</v>
      </c>
      <c r="M157" s="0" t="s">
        <v>65</v>
      </c>
      <c r="N157" s="0" t="n">
        <v>3.1403</v>
      </c>
      <c r="O157" s="0" t="n">
        <v>4</v>
      </c>
      <c r="P157" s="0" t="n">
        <v>0.0842</v>
      </c>
      <c r="Q157" s="0" t="n">
        <v>96.5898</v>
      </c>
      <c r="R157" s="0" t="n">
        <v>1.694</v>
      </c>
      <c r="S157" s="0" t="n">
        <v>97.5194</v>
      </c>
      <c r="T157" s="0" t="n">
        <v>2.749</v>
      </c>
      <c r="U157" s="0" t="n">
        <v>2.6379</v>
      </c>
      <c r="V157" s="0" t="n">
        <v>8.5973</v>
      </c>
      <c r="W157" s="0" t="n">
        <v>0.0255</v>
      </c>
      <c r="X157" s="0" t="n">
        <v>2.6379</v>
      </c>
      <c r="Y157" s="0" t="n">
        <v>8.5973</v>
      </c>
      <c r="Z157" s="0" t="n">
        <v>20</v>
      </c>
      <c r="AA157" s="0" t="n">
        <v>20</v>
      </c>
      <c r="AB157" s="0" t="n">
        <v>23</v>
      </c>
      <c r="AC157" s="0" t="s">
        <v>230</v>
      </c>
      <c r="AD157" s="0" t="n">
        <v>200000</v>
      </c>
      <c r="AE157" s="0" t="n">
        <v>193179.6</v>
      </c>
      <c r="AF157" s="0" t="n">
        <v>193179.6</v>
      </c>
      <c r="AG157" s="0" t="n">
        <v>0.006026</v>
      </c>
      <c r="AH157" s="4" t="b">
        <f aca="false">FALSE()</f>
        <v>0</v>
      </c>
      <c r="AJ157" s="4" t="b">
        <f aca="false">FALSE()</f>
        <v>0</v>
      </c>
      <c r="AK157" s="4" t="b">
        <f aca="false">FALSE()</f>
        <v>0</v>
      </c>
      <c r="AL157" s="0" t="s">
        <v>67</v>
      </c>
      <c r="AM157" s="0" t="n">
        <v>1.2844</v>
      </c>
      <c r="AN157" s="0" t="n">
        <v>-1.2636</v>
      </c>
      <c r="AO157" s="0" t="n">
        <v>2.5895</v>
      </c>
      <c r="AP157" s="0" t="n">
        <v>-2.5064</v>
      </c>
      <c r="AQ157" s="0" t="n">
        <v>5.262</v>
      </c>
      <c r="AR157" s="0" t="n">
        <v>-4.9298</v>
      </c>
    </row>
    <row r="158" customFormat="false" ht="15" hidden="false" customHeight="false" outlineLevel="0" collapsed="false">
      <c r="A158" s="0" t="s">
        <v>723</v>
      </c>
      <c r="B158" s="0" t="s">
        <v>724</v>
      </c>
      <c r="C158" s="0" t="s">
        <v>535</v>
      </c>
      <c r="D158" s="0" t="s">
        <v>526</v>
      </c>
      <c r="E158" s="0" t="s">
        <v>520</v>
      </c>
      <c r="F158" s="0" t="s">
        <v>61</v>
      </c>
      <c r="G158" s="0" t="n">
        <v>100</v>
      </c>
      <c r="H158" s="0" t="n">
        <v>0.0842</v>
      </c>
      <c r="I158" s="0" t="n">
        <v>2</v>
      </c>
      <c r="J158" s="0" t="s">
        <v>62</v>
      </c>
      <c r="K158" s="0" t="s">
        <v>725</v>
      </c>
      <c r="L158" s="0" t="s">
        <v>709</v>
      </c>
      <c r="M158" s="0" t="s">
        <v>65</v>
      </c>
      <c r="N158" s="0" t="n">
        <v>1.5086</v>
      </c>
      <c r="O158" s="0" t="n">
        <v>3</v>
      </c>
      <c r="P158" s="0" t="n">
        <v>0.0816</v>
      </c>
      <c r="Q158" s="0" t="n">
        <v>100.3602</v>
      </c>
      <c r="R158" s="0" t="n">
        <v>0.3513</v>
      </c>
      <c r="S158" s="0" t="n">
        <v>100.6913</v>
      </c>
      <c r="T158" s="0" t="n">
        <v>1.4403</v>
      </c>
      <c r="U158" s="0" t="n">
        <v>1.3838</v>
      </c>
      <c r="V158" s="0" t="n">
        <v>2.6228</v>
      </c>
      <c r="W158" s="0" t="n">
        <v>0.0139</v>
      </c>
      <c r="X158" s="0" t="n">
        <v>1.3838</v>
      </c>
      <c r="Y158" s="0" t="n">
        <v>2.6228</v>
      </c>
      <c r="Z158" s="0" t="n">
        <v>51</v>
      </c>
      <c r="AA158" s="0" t="n">
        <v>51</v>
      </c>
      <c r="AB158" s="0" t="n">
        <v>49</v>
      </c>
      <c r="AC158" s="0" t="s">
        <v>91</v>
      </c>
      <c r="AD158" s="0" t="n">
        <v>5000</v>
      </c>
      <c r="AE158" s="0" t="n">
        <v>5018.01</v>
      </c>
      <c r="AF158" s="0" t="n">
        <v>5018.01</v>
      </c>
      <c r="AG158" s="0" t="n">
        <v>0.000157</v>
      </c>
      <c r="AH158" s="4" t="b">
        <f aca="false">FALSE()</f>
        <v>0</v>
      </c>
      <c r="AJ158" s="4" t="b">
        <f aca="false">FALSE()</f>
        <v>0</v>
      </c>
      <c r="AK158" s="4" t="b">
        <f aca="false">FALSE()</f>
        <v>0</v>
      </c>
      <c r="AL158" s="0" t="s">
        <v>67</v>
      </c>
      <c r="AM158" s="0" t="n">
        <v>0.6977</v>
      </c>
      <c r="AN158" s="0" t="n">
        <v>-0.6911</v>
      </c>
      <c r="AO158" s="0" t="n">
        <v>1.4019</v>
      </c>
      <c r="AP158" s="0" t="n">
        <v>-1.3756</v>
      </c>
      <c r="AQ158" s="0" t="n">
        <v>2.8302</v>
      </c>
      <c r="AR158" s="0" t="n">
        <v>-2.7249</v>
      </c>
    </row>
    <row r="159" customFormat="false" ht="15" hidden="false" customHeight="false" outlineLevel="0" collapsed="false">
      <c r="A159" s="0" t="s">
        <v>726</v>
      </c>
      <c r="B159" s="0" t="s">
        <v>727</v>
      </c>
      <c r="C159" s="0" t="s">
        <v>591</v>
      </c>
      <c r="D159" s="0" t="s">
        <v>536</v>
      </c>
      <c r="E159" s="0" t="s">
        <v>520</v>
      </c>
      <c r="F159" s="0" t="s">
        <v>61</v>
      </c>
      <c r="G159" s="0" t="n">
        <v>100</v>
      </c>
      <c r="H159" s="0" t="n">
        <v>0.0777</v>
      </c>
      <c r="I159" s="0" t="n">
        <v>2</v>
      </c>
      <c r="J159" s="0" t="s">
        <v>62</v>
      </c>
      <c r="K159" s="0" t="s">
        <v>728</v>
      </c>
      <c r="L159" s="0" t="s">
        <v>729</v>
      </c>
      <c r="M159" s="0" t="s">
        <v>65</v>
      </c>
      <c r="N159" s="0" t="n">
        <v>2.9624</v>
      </c>
      <c r="O159" s="0" t="n">
        <v>4</v>
      </c>
      <c r="P159" s="0" t="n">
        <v>0.0875</v>
      </c>
      <c r="Q159" s="0" t="n">
        <v>97.8414</v>
      </c>
      <c r="R159" s="0" t="n">
        <v>1.387</v>
      </c>
      <c r="S159" s="0" t="n">
        <v>99.1151</v>
      </c>
      <c r="T159" s="0" t="n">
        <v>2.3176</v>
      </c>
      <c r="U159" s="0" t="n">
        <v>2.2205</v>
      </c>
      <c r="V159" s="0" t="n">
        <v>6.2182</v>
      </c>
      <c r="W159" s="0" t="n">
        <v>0.0217</v>
      </c>
      <c r="X159" s="0" t="n">
        <v>2.2205</v>
      </c>
      <c r="Y159" s="0" t="n">
        <v>6.2182</v>
      </c>
      <c r="Z159" s="0" t="n">
        <v>55</v>
      </c>
      <c r="AA159" s="0" t="n">
        <v>55</v>
      </c>
      <c r="AB159" s="0" t="n">
        <v>57</v>
      </c>
      <c r="AC159" s="0" t="s">
        <v>66</v>
      </c>
      <c r="AD159" s="0" t="n">
        <v>5000</v>
      </c>
      <c r="AE159" s="0" t="n">
        <v>4892.07</v>
      </c>
      <c r="AF159" s="0" t="n">
        <v>4892.07</v>
      </c>
      <c r="AG159" s="0" t="n">
        <v>0.000153</v>
      </c>
      <c r="AH159" s="4" t="b">
        <f aca="false">FALSE()</f>
        <v>0</v>
      </c>
      <c r="AJ159" s="4" t="b">
        <f aca="false">FALSE()</f>
        <v>0</v>
      </c>
      <c r="AK159" s="4" t="b">
        <f aca="false">FALSE()</f>
        <v>0</v>
      </c>
      <c r="AL159" s="0" t="s">
        <v>67</v>
      </c>
      <c r="AM159" s="0" t="n">
        <v>1.0939</v>
      </c>
      <c r="AN159" s="0" t="n">
        <v>-1.0787</v>
      </c>
      <c r="AO159" s="0" t="n">
        <v>2.203</v>
      </c>
      <c r="AP159" s="0" t="n">
        <v>-2.1421</v>
      </c>
      <c r="AQ159" s="0" t="n">
        <v>4.4668</v>
      </c>
      <c r="AR159" s="0" t="n">
        <v>-4.2235</v>
      </c>
    </row>
    <row r="160" customFormat="false" ht="15" hidden="false" customHeight="false" outlineLevel="0" collapsed="false">
      <c r="A160" s="0" t="s">
        <v>730</v>
      </c>
      <c r="B160" s="0" t="s">
        <v>731</v>
      </c>
      <c r="C160" s="0" t="s">
        <v>525</v>
      </c>
      <c r="D160" s="0" t="s">
        <v>519</v>
      </c>
      <c r="E160" s="0" t="s">
        <v>520</v>
      </c>
      <c r="F160" s="0" t="s">
        <v>61</v>
      </c>
      <c r="G160" s="0" t="n">
        <v>100</v>
      </c>
      <c r="H160" s="0" t="n">
        <v>0.0745</v>
      </c>
      <c r="I160" s="0" t="n">
        <v>2</v>
      </c>
      <c r="J160" s="0" t="s">
        <v>62</v>
      </c>
      <c r="K160" s="0" t="s">
        <v>732</v>
      </c>
      <c r="L160" s="0" t="s">
        <v>733</v>
      </c>
      <c r="M160" s="0" t="s">
        <v>65</v>
      </c>
      <c r="N160" s="0" t="n">
        <v>0.668</v>
      </c>
      <c r="O160" s="0" t="n">
        <v>10</v>
      </c>
      <c r="P160" s="0" t="n">
        <v>0.0874</v>
      </c>
      <c r="Q160" s="0" t="n">
        <v>99.382</v>
      </c>
      <c r="R160" s="0" t="n">
        <v>0.5258</v>
      </c>
      <c r="S160" s="0" t="n">
        <v>100.9555</v>
      </c>
      <c r="T160" s="0" t="n">
        <v>0.5</v>
      </c>
      <c r="U160" s="0" t="n">
        <v>0.4791</v>
      </c>
      <c r="V160" s="0" t="n">
        <v>0.459</v>
      </c>
      <c r="W160" s="0" t="n">
        <v>0.0048</v>
      </c>
      <c r="X160" s="0" t="n">
        <v>0.4791</v>
      </c>
      <c r="Y160" s="0" t="n">
        <v>0.459</v>
      </c>
      <c r="Z160" s="0" t="n">
        <v>76</v>
      </c>
      <c r="AA160" s="0" t="n">
        <v>76</v>
      </c>
      <c r="AB160" s="0" t="n">
        <v>81</v>
      </c>
      <c r="AC160" s="0" t="s">
        <v>173</v>
      </c>
      <c r="AD160" s="0" t="n">
        <v>5000</v>
      </c>
      <c r="AE160" s="0" t="n">
        <v>4969.1</v>
      </c>
      <c r="AF160" s="0" t="n">
        <v>4969.1</v>
      </c>
      <c r="AG160" s="0" t="n">
        <v>0.000155</v>
      </c>
      <c r="AH160" s="4" t="b">
        <f aca="false">FALSE()</f>
        <v>0</v>
      </c>
      <c r="AJ160" s="4" t="b">
        <f aca="false">FALSE()</f>
        <v>0</v>
      </c>
      <c r="AK160" s="4" t="b">
        <f aca="false">FALSE()</f>
        <v>0</v>
      </c>
      <c r="AL160" s="0" t="s">
        <v>67</v>
      </c>
      <c r="AM160" s="0" t="n">
        <v>0.2386</v>
      </c>
      <c r="AN160" s="0" t="n">
        <v>-0.2375</v>
      </c>
      <c r="AO160" s="0" t="n">
        <v>0.4784</v>
      </c>
      <c r="AP160" s="0" t="n">
        <v>-0.4739</v>
      </c>
      <c r="AQ160" s="0" t="n">
        <v>0.9614</v>
      </c>
      <c r="AR160" s="0" t="n">
        <v>-0.9432</v>
      </c>
    </row>
    <row r="161" customFormat="false" ht="15" hidden="false" customHeight="false" outlineLevel="0" collapsed="false">
      <c r="A161" s="0" t="s">
        <v>734</v>
      </c>
      <c r="B161" s="0" t="s">
        <v>735</v>
      </c>
      <c r="C161" s="0" t="s">
        <v>551</v>
      </c>
      <c r="D161" s="0" t="s">
        <v>536</v>
      </c>
      <c r="E161" s="0" t="s">
        <v>520</v>
      </c>
      <c r="F161" s="0" t="s">
        <v>61</v>
      </c>
      <c r="G161" s="0" t="n">
        <v>100</v>
      </c>
      <c r="H161" s="0" t="n">
        <v>0.0774</v>
      </c>
      <c r="I161" s="0" t="n">
        <v>2</v>
      </c>
      <c r="J161" s="0" t="s">
        <v>62</v>
      </c>
      <c r="K161" s="0" t="s">
        <v>736</v>
      </c>
      <c r="L161" s="0" t="s">
        <v>737</v>
      </c>
      <c r="M161" s="0" t="s">
        <v>65</v>
      </c>
      <c r="N161" s="0" t="n">
        <v>0.5175</v>
      </c>
      <c r="O161" s="0" t="n">
        <v>9</v>
      </c>
      <c r="P161" s="0" t="n">
        <v>0.0851</v>
      </c>
      <c r="Q161" s="0" t="n">
        <v>99.6307</v>
      </c>
      <c r="R161" s="0" t="n">
        <v>1.5402</v>
      </c>
      <c r="S161" s="0" t="n">
        <v>99.922</v>
      </c>
      <c r="T161" s="0" t="n">
        <v>0.5</v>
      </c>
      <c r="U161" s="0" t="n">
        <v>0.4796</v>
      </c>
      <c r="V161" s="0" t="n">
        <v>0.46</v>
      </c>
      <c r="W161" s="0" t="n">
        <v>0.0048</v>
      </c>
      <c r="X161" s="0" t="n">
        <v>0.4796</v>
      </c>
      <c r="Y161" s="0" t="n">
        <v>0.46</v>
      </c>
      <c r="Z161" s="0" t="n">
        <v>77</v>
      </c>
      <c r="AA161" s="0" t="n">
        <v>77</v>
      </c>
      <c r="AB161" s="0" t="n">
        <v>85</v>
      </c>
      <c r="AC161" s="0" t="s">
        <v>173</v>
      </c>
      <c r="AD161" s="0" t="n">
        <v>200000</v>
      </c>
      <c r="AE161" s="0" t="n">
        <v>199261.4</v>
      </c>
      <c r="AF161" s="0" t="n">
        <v>199261.4</v>
      </c>
      <c r="AG161" s="0" t="n">
        <v>0.006215</v>
      </c>
      <c r="AH161" s="4" t="b">
        <f aca="false">FALSE()</f>
        <v>0</v>
      </c>
      <c r="AJ161" s="4" t="b">
        <f aca="false">FALSE()</f>
        <v>0</v>
      </c>
      <c r="AK161" s="4" t="b">
        <f aca="false">FALSE()</f>
        <v>0</v>
      </c>
      <c r="AL161" s="0" t="s">
        <v>67</v>
      </c>
      <c r="AM161" s="0" t="n">
        <v>0.2395</v>
      </c>
      <c r="AN161" s="0" t="n">
        <v>-0.2383</v>
      </c>
      <c r="AO161" s="0" t="n">
        <v>0.4801</v>
      </c>
      <c r="AP161" s="0" t="n">
        <v>-0.4755</v>
      </c>
      <c r="AQ161" s="0" t="n">
        <v>0.9648</v>
      </c>
      <c r="AR161" s="0" t="n">
        <v>-0.9465</v>
      </c>
    </row>
    <row r="162" customFormat="false" ht="15" hidden="false" customHeight="false" outlineLevel="0" collapsed="false">
      <c r="A162" s="0" t="s">
        <v>738</v>
      </c>
      <c r="B162" s="0" t="s">
        <v>739</v>
      </c>
      <c r="C162" s="0" t="s">
        <v>740</v>
      </c>
      <c r="D162" s="0" t="s">
        <v>526</v>
      </c>
      <c r="E162" s="0" t="s">
        <v>741</v>
      </c>
      <c r="F162" s="0" t="s">
        <v>61</v>
      </c>
      <c r="G162" s="0" t="n">
        <v>100</v>
      </c>
      <c r="H162" s="0" t="n">
        <v>0.0997</v>
      </c>
      <c r="I162" s="0" t="n">
        <v>2</v>
      </c>
      <c r="J162" s="0" t="s">
        <v>62</v>
      </c>
      <c r="K162" s="0" t="s">
        <v>742</v>
      </c>
      <c r="L162" s="0" t="s">
        <v>743</v>
      </c>
      <c r="M162" s="0" t="s">
        <v>65</v>
      </c>
      <c r="N162" s="0" t="n">
        <v>2.5325</v>
      </c>
      <c r="O162" s="0" t="n">
        <v>5</v>
      </c>
      <c r="P162" s="0" t="n">
        <v>0.0859</v>
      </c>
      <c r="Q162" s="0" t="n">
        <v>103.0465</v>
      </c>
      <c r="R162" s="0" t="n">
        <v>2.2365</v>
      </c>
      <c r="S162" s="0" t="n">
        <v>104.342</v>
      </c>
      <c r="T162" s="0" t="n">
        <v>2.2774</v>
      </c>
      <c r="U162" s="0" t="n">
        <v>2.1836</v>
      </c>
      <c r="V162" s="0" t="n">
        <v>6.0808</v>
      </c>
      <c r="W162" s="0" t="n">
        <v>0.0225</v>
      </c>
      <c r="X162" s="0" t="n">
        <v>2.2275</v>
      </c>
      <c r="Y162" s="0" t="n">
        <v>5.5084</v>
      </c>
      <c r="Z162" s="0" t="n">
        <v>95</v>
      </c>
      <c r="AA162" s="0" t="n">
        <v>78</v>
      </c>
      <c r="AB162" s="0" t="n">
        <v>92</v>
      </c>
      <c r="AC162" s="0" t="s">
        <v>66</v>
      </c>
      <c r="AD162" s="0" t="n">
        <v>10000</v>
      </c>
      <c r="AE162" s="0" t="n">
        <v>10304.65</v>
      </c>
      <c r="AF162" s="0" t="n">
        <v>10304.65</v>
      </c>
      <c r="AG162" s="0" t="n">
        <v>0.000321</v>
      </c>
      <c r="AH162" s="4" t="b">
        <f aca="false">TRUE()</f>
        <v>1</v>
      </c>
      <c r="AI162" s="0" t="s">
        <v>744</v>
      </c>
      <c r="AJ162" s="4" t="b">
        <f aca="false">FALSE()</f>
        <v>0</v>
      </c>
      <c r="AK162" s="4" t="b">
        <f aca="false">FALSE()</f>
        <v>0</v>
      </c>
      <c r="AL162" s="0" t="s">
        <v>67</v>
      </c>
      <c r="AM162" s="0" t="n">
        <v>1.1329</v>
      </c>
      <c r="AN162" s="0" t="n">
        <v>-1.1172</v>
      </c>
      <c r="AO162" s="0" t="n">
        <v>2.2815</v>
      </c>
      <c r="AP162" s="0" t="n">
        <v>-2.2188</v>
      </c>
      <c r="AQ162" s="0" t="n">
        <v>4.6256</v>
      </c>
      <c r="AR162" s="0" t="n">
        <v>-4.3749</v>
      </c>
    </row>
    <row r="163" customFormat="false" ht="15" hidden="false" customHeight="false" outlineLevel="0" collapsed="false">
      <c r="A163" s="0" t="s">
        <v>745</v>
      </c>
      <c r="B163" s="0" t="s">
        <v>746</v>
      </c>
      <c r="C163" s="0" t="s">
        <v>747</v>
      </c>
      <c r="D163" s="0" t="s">
        <v>526</v>
      </c>
      <c r="E163" s="0" t="s">
        <v>748</v>
      </c>
      <c r="F163" s="0" t="s">
        <v>61</v>
      </c>
      <c r="G163" s="0" t="n">
        <v>100</v>
      </c>
      <c r="H163" s="0" t="n">
        <v>0.0852</v>
      </c>
      <c r="I163" s="0" t="n">
        <v>2</v>
      </c>
      <c r="J163" s="0" t="s">
        <v>62</v>
      </c>
      <c r="K163" s="0" t="s">
        <v>749</v>
      </c>
      <c r="L163" s="0" t="s">
        <v>750</v>
      </c>
      <c r="M163" s="0" t="s">
        <v>65</v>
      </c>
      <c r="N163" s="0" t="n">
        <v>0.7228</v>
      </c>
      <c r="O163" s="0" t="n">
        <v>4</v>
      </c>
      <c r="P163" s="0" t="n">
        <v>0.0909</v>
      </c>
      <c r="Q163" s="0" t="n">
        <v>99.7274</v>
      </c>
      <c r="R163" s="0" t="n">
        <v>0.5793</v>
      </c>
      <c r="S163" s="0" t="n">
        <v>99.8865</v>
      </c>
      <c r="T163" s="0" t="n">
        <v>0.5</v>
      </c>
      <c r="U163" s="0" t="n">
        <v>0.4783</v>
      </c>
      <c r="V163" s="0" t="n">
        <v>0.4575</v>
      </c>
      <c r="W163" s="0" t="n">
        <v>0.0048</v>
      </c>
      <c r="X163" s="0" t="n">
        <v>0.4783</v>
      </c>
      <c r="Y163" s="0" t="n">
        <v>0.4575</v>
      </c>
      <c r="Z163" s="0" t="n">
        <v>101</v>
      </c>
      <c r="AA163" s="0" t="n">
        <v>101</v>
      </c>
      <c r="AB163" s="0" t="n">
        <v>102</v>
      </c>
      <c r="AC163" s="0" t="s">
        <v>173</v>
      </c>
      <c r="AD163" s="0" t="n">
        <v>500000</v>
      </c>
      <c r="AE163" s="0" t="n">
        <v>498637</v>
      </c>
      <c r="AF163" s="0" t="n">
        <v>498637</v>
      </c>
      <c r="AG163" s="0" t="n">
        <v>0.015554</v>
      </c>
      <c r="AH163" s="4" t="b">
        <f aca="false">FALSE()</f>
        <v>0</v>
      </c>
      <c r="AJ163" s="4" t="b">
        <f aca="false">FALSE()</f>
        <v>0</v>
      </c>
      <c r="AK163" s="4" t="b">
        <f aca="false">FALSE()</f>
        <v>0</v>
      </c>
      <c r="AL163" s="0" t="s">
        <v>67</v>
      </c>
      <c r="AM163" s="0" t="n">
        <v>0.2391</v>
      </c>
      <c r="AN163" s="0" t="n">
        <v>-0.2379</v>
      </c>
      <c r="AO163" s="0" t="n">
        <v>0.4793</v>
      </c>
      <c r="AP163" s="0" t="n">
        <v>-0.4747</v>
      </c>
      <c r="AQ163" s="0" t="n">
        <v>0.9631</v>
      </c>
      <c r="AR163" s="0" t="n">
        <v>-0.9449</v>
      </c>
    </row>
    <row r="164" customFormat="false" ht="15" hidden="false" customHeight="false" outlineLevel="0" collapsed="false">
      <c r="A164" s="0" t="s">
        <v>751</v>
      </c>
      <c r="B164" s="0" t="s">
        <v>752</v>
      </c>
      <c r="C164" s="0" t="s">
        <v>753</v>
      </c>
      <c r="D164" s="0" t="s">
        <v>526</v>
      </c>
      <c r="E164" s="0" t="s">
        <v>748</v>
      </c>
      <c r="F164" s="0" t="s">
        <v>61</v>
      </c>
      <c r="G164" s="0" t="n">
        <v>100</v>
      </c>
      <c r="H164" s="0" t="n">
        <v>0.0872</v>
      </c>
      <c r="I164" s="0" t="n">
        <v>2</v>
      </c>
      <c r="J164" s="0" t="s">
        <v>62</v>
      </c>
      <c r="K164" s="0" t="s">
        <v>754</v>
      </c>
      <c r="L164" s="0" t="s">
        <v>755</v>
      </c>
      <c r="M164" s="0" t="s">
        <v>65</v>
      </c>
      <c r="N164" s="0" t="n">
        <v>1.5962</v>
      </c>
      <c r="O164" s="0" t="n">
        <v>3</v>
      </c>
      <c r="P164" s="0" t="n">
        <v>0.092</v>
      </c>
      <c r="Q164" s="0" t="n">
        <v>99.3415</v>
      </c>
      <c r="R164" s="0" t="n">
        <v>1.8015</v>
      </c>
      <c r="S164" s="0" t="n">
        <v>100.8607</v>
      </c>
      <c r="T164" s="0" t="n">
        <v>1.438</v>
      </c>
      <c r="U164" s="0" t="n">
        <v>1.3748</v>
      </c>
      <c r="V164" s="0" t="n">
        <v>2.5911</v>
      </c>
      <c r="W164" s="0" t="n">
        <v>0.0137</v>
      </c>
      <c r="X164" s="0" t="n">
        <v>1.3116</v>
      </c>
      <c r="Y164" s="0" t="n">
        <v>2.5273</v>
      </c>
      <c r="Z164" s="0" t="n">
        <v>75</v>
      </c>
      <c r="AA164" s="0" t="n">
        <v>56</v>
      </c>
      <c r="AB164" s="0" t="n">
        <v>80</v>
      </c>
      <c r="AC164" s="0" t="s">
        <v>91</v>
      </c>
      <c r="AD164" s="0" t="n">
        <v>500000</v>
      </c>
      <c r="AE164" s="0" t="n">
        <v>496707.5</v>
      </c>
      <c r="AF164" s="0" t="n">
        <v>496707.5</v>
      </c>
      <c r="AG164" s="0" t="n">
        <v>0.015493</v>
      </c>
      <c r="AH164" s="4" t="b">
        <f aca="false">TRUE()</f>
        <v>1</v>
      </c>
      <c r="AI164" s="0" t="s">
        <v>756</v>
      </c>
      <c r="AJ164" s="4" t="b">
        <f aca="false">FALSE()</f>
        <v>0</v>
      </c>
      <c r="AK164" s="4" t="b">
        <f aca="false">FALSE()</f>
        <v>0</v>
      </c>
      <c r="AL164" s="0" t="s">
        <v>67</v>
      </c>
      <c r="AM164" s="0" t="n">
        <v>0.6861</v>
      </c>
      <c r="AN164" s="0" t="n">
        <v>-0.6797</v>
      </c>
      <c r="AO164" s="0" t="n">
        <v>1.3786</v>
      </c>
      <c r="AP164" s="0" t="n">
        <v>-1.3529</v>
      </c>
      <c r="AQ164" s="0" t="n">
        <v>2.783</v>
      </c>
      <c r="AR164" s="0" t="n">
        <v>-2.68</v>
      </c>
    </row>
    <row r="165" customFormat="false" ht="15" hidden="false" customHeight="false" outlineLevel="0" collapsed="false">
      <c r="A165" s="0" t="s">
        <v>757</v>
      </c>
      <c r="B165" s="0" t="s">
        <v>758</v>
      </c>
      <c r="C165" s="0" t="s">
        <v>753</v>
      </c>
      <c r="D165" s="0" t="s">
        <v>526</v>
      </c>
      <c r="E165" s="0" t="s">
        <v>741</v>
      </c>
      <c r="F165" s="0" t="s">
        <v>61</v>
      </c>
      <c r="G165" s="0" t="n">
        <v>100</v>
      </c>
      <c r="H165" s="0" t="n">
        <v>0.0971</v>
      </c>
      <c r="I165" s="0" t="n">
        <v>2</v>
      </c>
      <c r="J165" s="0" t="s">
        <v>62</v>
      </c>
      <c r="K165" s="0" t="s">
        <v>759</v>
      </c>
      <c r="L165" s="0" t="s">
        <v>760</v>
      </c>
      <c r="M165" s="0" t="s">
        <v>65</v>
      </c>
      <c r="N165" s="0" t="n">
        <v>1.7604</v>
      </c>
      <c r="O165" s="0" t="n">
        <v>6</v>
      </c>
      <c r="P165" s="0" t="n">
        <v>0.0887</v>
      </c>
      <c r="Q165" s="0" t="n">
        <v>101.156</v>
      </c>
      <c r="R165" s="0" t="n">
        <v>0.3393</v>
      </c>
      <c r="S165" s="0" t="n">
        <v>101.185</v>
      </c>
      <c r="T165" s="0" t="n">
        <v>1.432</v>
      </c>
      <c r="U165" s="0" t="n">
        <v>1.3712</v>
      </c>
      <c r="V165" s="0" t="n">
        <v>2.5847</v>
      </c>
      <c r="W165" s="0" t="n">
        <v>0.0139</v>
      </c>
      <c r="X165" s="0" t="n">
        <v>1.3712</v>
      </c>
      <c r="Y165" s="0" t="n">
        <v>2.5847</v>
      </c>
      <c r="Z165" s="0" t="n">
        <v>73</v>
      </c>
      <c r="AA165" s="0" t="n">
        <v>73</v>
      </c>
      <c r="AB165" s="0" t="n">
        <v>75</v>
      </c>
      <c r="AC165" s="0" t="s">
        <v>91</v>
      </c>
      <c r="AD165" s="0" t="n">
        <v>50000</v>
      </c>
      <c r="AE165" s="0" t="n">
        <v>50578</v>
      </c>
      <c r="AF165" s="0" t="n">
        <v>50578</v>
      </c>
      <c r="AG165" s="0" t="n">
        <v>0.001578</v>
      </c>
      <c r="AH165" s="4" t="b">
        <f aca="false">FALSE()</f>
        <v>0</v>
      </c>
      <c r="AJ165" s="4" t="b">
        <f aca="false">FALSE()</f>
        <v>0</v>
      </c>
      <c r="AK165" s="4" t="b">
        <f aca="false">FALSE()</f>
        <v>0</v>
      </c>
      <c r="AL165" s="0" t="s">
        <v>67</v>
      </c>
      <c r="AM165" s="0" t="n">
        <v>0.6968</v>
      </c>
      <c r="AN165" s="0" t="n">
        <v>-0.6903</v>
      </c>
      <c r="AO165" s="0" t="n">
        <v>1.4001</v>
      </c>
      <c r="AP165" s="0" t="n">
        <v>-1.374</v>
      </c>
      <c r="AQ165" s="0" t="n">
        <v>2.8264</v>
      </c>
      <c r="AR165" s="0" t="n">
        <v>-2.7218</v>
      </c>
    </row>
    <row r="166" customFormat="false" ht="15" hidden="false" customHeight="false" outlineLevel="0" collapsed="false">
      <c r="A166" s="0" t="s">
        <v>761</v>
      </c>
      <c r="B166" s="0" t="s">
        <v>762</v>
      </c>
      <c r="C166" s="0" t="s">
        <v>753</v>
      </c>
      <c r="D166" s="0" t="s">
        <v>526</v>
      </c>
      <c r="E166" s="0" t="s">
        <v>741</v>
      </c>
      <c r="F166" s="0" t="s">
        <v>61</v>
      </c>
      <c r="G166" s="0" t="n">
        <v>100</v>
      </c>
      <c r="H166" s="0" t="n">
        <v>0.098</v>
      </c>
      <c r="I166" s="0" t="n">
        <v>2</v>
      </c>
      <c r="J166" s="0" t="s">
        <v>62</v>
      </c>
      <c r="K166" s="0" t="s">
        <v>763</v>
      </c>
      <c r="L166" s="0" t="s">
        <v>764</v>
      </c>
      <c r="M166" s="0" t="s">
        <v>65</v>
      </c>
      <c r="N166" s="0" t="n">
        <v>1.2621</v>
      </c>
      <c r="O166" s="0" t="n">
        <v>5</v>
      </c>
      <c r="P166" s="0" t="n">
        <v>0.0864</v>
      </c>
      <c r="Q166" s="0" t="n">
        <v>101.0889</v>
      </c>
      <c r="R166" s="0" t="n">
        <v>0.1241</v>
      </c>
      <c r="S166" s="0" t="n">
        <v>103.353</v>
      </c>
      <c r="T166" s="0" t="n">
        <v>0.9768</v>
      </c>
      <c r="U166" s="0" t="n">
        <v>0.9363</v>
      </c>
      <c r="V166" s="0" t="n">
        <v>1.3356</v>
      </c>
      <c r="W166" s="0" t="n">
        <v>0.0095</v>
      </c>
      <c r="X166" s="0" t="n">
        <v>0.93</v>
      </c>
      <c r="Y166" s="0" t="n">
        <v>1.2804</v>
      </c>
      <c r="Z166" s="0" t="n">
        <v>102</v>
      </c>
      <c r="AA166" s="0" t="n">
        <v>78</v>
      </c>
      <c r="AB166" s="0" t="n">
        <v>112</v>
      </c>
      <c r="AC166" s="0" t="s">
        <v>91</v>
      </c>
      <c r="AD166" s="0" t="n">
        <v>500000</v>
      </c>
      <c r="AE166" s="0" t="n">
        <v>505444.5</v>
      </c>
      <c r="AF166" s="0" t="n">
        <v>505444.5</v>
      </c>
      <c r="AG166" s="0" t="n">
        <v>0.015766</v>
      </c>
      <c r="AH166" s="4" t="b">
        <f aca="false">TRUE()</f>
        <v>1</v>
      </c>
      <c r="AI166" s="0" t="s">
        <v>765</v>
      </c>
      <c r="AJ166" s="4" t="b">
        <f aca="false">FALSE()</f>
        <v>0</v>
      </c>
      <c r="AK166" s="4" t="b">
        <f aca="false">FALSE()</f>
        <v>0</v>
      </c>
      <c r="AL166" s="0" t="s">
        <v>67</v>
      </c>
      <c r="AM166" s="0" t="n">
        <v>0.4749</v>
      </c>
      <c r="AN166" s="0" t="n">
        <v>-0.4716</v>
      </c>
      <c r="AO166" s="0" t="n">
        <v>0.9532</v>
      </c>
      <c r="AP166" s="0" t="n">
        <v>-0.9397</v>
      </c>
      <c r="AQ166" s="0" t="n">
        <v>1.92</v>
      </c>
      <c r="AR166" s="0" t="n">
        <v>-1.866</v>
      </c>
    </row>
    <row r="167" customFormat="false" ht="15" hidden="false" customHeight="false" outlineLevel="0" collapsed="false">
      <c r="A167" s="0" t="s">
        <v>766</v>
      </c>
      <c r="B167" s="0" t="s">
        <v>767</v>
      </c>
      <c r="C167" s="0" t="s">
        <v>740</v>
      </c>
      <c r="D167" s="0" t="s">
        <v>526</v>
      </c>
      <c r="E167" s="0" t="s">
        <v>768</v>
      </c>
      <c r="F167" s="0" t="s">
        <v>61</v>
      </c>
      <c r="G167" s="0" t="n">
        <v>100</v>
      </c>
      <c r="H167" s="0" t="n">
        <v>0.0923</v>
      </c>
      <c r="I167" s="0" t="n">
        <v>2</v>
      </c>
      <c r="J167" s="0" t="s">
        <v>62</v>
      </c>
      <c r="K167" s="0" t="s">
        <v>769</v>
      </c>
      <c r="L167" s="0" t="s">
        <v>770</v>
      </c>
      <c r="M167" s="0" t="s">
        <v>65</v>
      </c>
      <c r="N167" s="0" t="n">
        <v>4.2683</v>
      </c>
      <c r="O167" s="0" t="n">
        <v>6</v>
      </c>
      <c r="P167" s="0" t="n">
        <v>0.0894</v>
      </c>
      <c r="Q167" s="0" t="n">
        <v>100.9576</v>
      </c>
      <c r="R167" s="0" t="n">
        <v>0.2024</v>
      </c>
      <c r="S167" s="0" t="n">
        <v>101.8414</v>
      </c>
      <c r="T167" s="0" t="n">
        <v>3.4371</v>
      </c>
      <c r="U167" s="0" t="n">
        <v>3.29</v>
      </c>
      <c r="V167" s="0" t="n">
        <v>13.4312</v>
      </c>
      <c r="W167" s="0" t="n">
        <v>0.0332</v>
      </c>
      <c r="X167" s="0" t="n">
        <v>3.29</v>
      </c>
      <c r="Y167" s="0" t="n">
        <v>13.4312</v>
      </c>
      <c r="Z167" s="0" t="n">
        <v>130</v>
      </c>
      <c r="AA167" s="0" t="n">
        <v>130</v>
      </c>
      <c r="AB167" s="0" t="n">
        <v>138</v>
      </c>
      <c r="AC167" s="0" t="s">
        <v>230</v>
      </c>
      <c r="AD167" s="0" t="n">
        <v>50000</v>
      </c>
      <c r="AE167" s="0" t="n">
        <v>50478.8</v>
      </c>
      <c r="AF167" s="0" t="n">
        <v>50478.8</v>
      </c>
      <c r="AG167" s="0" t="n">
        <v>0.001575</v>
      </c>
      <c r="AH167" s="4" t="b">
        <f aca="false">FALSE()</f>
        <v>0</v>
      </c>
      <c r="AJ167" s="4" t="b">
        <f aca="false">FALSE()</f>
        <v>0</v>
      </c>
      <c r="AK167" s="4" t="b">
        <f aca="false">FALSE()</f>
        <v>0</v>
      </c>
      <c r="AL167" s="0" t="s">
        <v>67</v>
      </c>
      <c r="AM167" s="0" t="n">
        <v>1.6777</v>
      </c>
      <c r="AN167" s="0" t="n">
        <v>-1.6438</v>
      </c>
      <c r="AO167" s="0" t="n">
        <v>3.3893</v>
      </c>
      <c r="AP167" s="0" t="n">
        <v>-3.2537</v>
      </c>
      <c r="AQ167" s="0" t="n">
        <v>6.9142</v>
      </c>
      <c r="AR167" s="0" t="n">
        <v>-6.3718</v>
      </c>
    </row>
    <row r="168" customFormat="false" ht="15" hidden="false" customHeight="false" outlineLevel="0" collapsed="false">
      <c r="A168" s="0" t="s">
        <v>771</v>
      </c>
      <c r="B168" s="0" t="s">
        <v>772</v>
      </c>
      <c r="C168" s="0" t="s">
        <v>773</v>
      </c>
      <c r="D168" s="0" t="s">
        <v>526</v>
      </c>
      <c r="E168" s="0" t="s">
        <v>748</v>
      </c>
      <c r="F168" s="0" t="s">
        <v>61</v>
      </c>
      <c r="G168" s="0" t="n">
        <v>100</v>
      </c>
      <c r="H168" s="0" t="n">
        <v>0.0983</v>
      </c>
      <c r="I168" s="0" t="n">
        <v>2</v>
      </c>
      <c r="J168" s="0" t="s">
        <v>62</v>
      </c>
      <c r="K168" s="0" t="s">
        <v>774</v>
      </c>
      <c r="L168" s="0" t="s">
        <v>775</v>
      </c>
      <c r="M168" s="0" t="s">
        <v>65</v>
      </c>
      <c r="N168" s="0" t="n">
        <v>3.8905</v>
      </c>
      <c r="O168" s="0" t="n">
        <v>6</v>
      </c>
      <c r="P168" s="0" t="n">
        <v>0.0891</v>
      </c>
      <c r="Q168" s="0" t="n">
        <v>102.7151</v>
      </c>
      <c r="R168" s="0" t="n">
        <v>0.072</v>
      </c>
      <c r="S168" s="0" t="n">
        <v>104.7074</v>
      </c>
      <c r="T168" s="0" t="n">
        <v>3.0518</v>
      </c>
      <c r="U168" s="0" t="n">
        <v>2.9216</v>
      </c>
      <c r="V168" s="0" t="n">
        <v>10.6598</v>
      </c>
      <c r="W168" s="0" t="n">
        <v>0.03</v>
      </c>
      <c r="X168" s="0" t="n">
        <v>2.9216</v>
      </c>
      <c r="Y168" s="0" t="n">
        <v>10.6598</v>
      </c>
      <c r="Z168" s="0" t="n">
        <v>100</v>
      </c>
      <c r="AA168" s="0" t="n">
        <v>100</v>
      </c>
      <c r="AB168" s="0" t="n">
        <v>103</v>
      </c>
      <c r="AC168" s="0" t="s">
        <v>230</v>
      </c>
      <c r="AD168" s="0" t="n">
        <v>5000</v>
      </c>
      <c r="AE168" s="0" t="n">
        <v>5135.76</v>
      </c>
      <c r="AF168" s="0" t="n">
        <v>5135.76</v>
      </c>
      <c r="AG168" s="0" t="n">
        <v>0.00016</v>
      </c>
      <c r="AH168" s="4" t="b">
        <f aca="false">FALSE()</f>
        <v>0</v>
      </c>
      <c r="AJ168" s="4" t="b">
        <f aca="false">FALSE()</f>
        <v>0</v>
      </c>
      <c r="AK168" s="4" t="b">
        <f aca="false">FALSE()</f>
        <v>0</v>
      </c>
      <c r="AL168" s="0" t="s">
        <v>67</v>
      </c>
      <c r="AM168" s="0" t="n">
        <v>1.5141</v>
      </c>
      <c r="AN168" s="0" t="n">
        <v>-1.4868</v>
      </c>
      <c r="AO168" s="0" t="n">
        <v>3.0557</v>
      </c>
      <c r="AP168" s="0" t="n">
        <v>-2.9462</v>
      </c>
      <c r="AQ168" s="0" t="n">
        <v>6.2208</v>
      </c>
      <c r="AR168" s="0" t="n">
        <v>-5.7829</v>
      </c>
    </row>
    <row r="169" customFormat="false" ht="15" hidden="false" customHeight="false" outlineLevel="0" collapsed="false">
      <c r="A169" s="0" t="s">
        <v>776</v>
      </c>
      <c r="B169" s="0" t="s">
        <v>777</v>
      </c>
      <c r="C169" s="0" t="s">
        <v>740</v>
      </c>
      <c r="D169" s="0" t="s">
        <v>526</v>
      </c>
      <c r="E169" s="0" t="s">
        <v>768</v>
      </c>
      <c r="F169" s="0" t="s">
        <v>61</v>
      </c>
      <c r="G169" s="0" t="n">
        <v>100</v>
      </c>
      <c r="H169" s="0" t="n">
        <v>0.0963</v>
      </c>
      <c r="I169" s="0" t="n">
        <v>2</v>
      </c>
      <c r="J169" s="0" t="s">
        <v>62</v>
      </c>
      <c r="K169" s="0" t="s">
        <v>778</v>
      </c>
      <c r="L169" s="0" t="s">
        <v>779</v>
      </c>
      <c r="M169" s="0" t="s">
        <v>65</v>
      </c>
      <c r="N169" s="0" t="n">
        <v>6.1629</v>
      </c>
      <c r="O169" s="0" t="n">
        <v>7</v>
      </c>
      <c r="P169" s="0" t="n">
        <v>0.0999</v>
      </c>
      <c r="Q169" s="0" t="n">
        <v>98.4042</v>
      </c>
      <c r="R169" s="0" t="n">
        <v>1.9197</v>
      </c>
      <c r="S169" s="0" t="n">
        <v>99.2584</v>
      </c>
      <c r="T169" s="0" t="n">
        <v>4.6818</v>
      </c>
      <c r="U169" s="0" t="n">
        <v>4.4591</v>
      </c>
      <c r="V169" s="0" t="n">
        <v>25.2162</v>
      </c>
      <c r="W169" s="0" t="n">
        <v>0.0439</v>
      </c>
      <c r="X169" s="0" t="n">
        <v>4.4591</v>
      </c>
      <c r="Y169" s="0" t="n">
        <v>25.2162</v>
      </c>
      <c r="Z169" s="0" t="n">
        <v>133</v>
      </c>
      <c r="AA169" s="0" t="n">
        <v>133</v>
      </c>
      <c r="AB169" s="0" t="n">
        <v>133</v>
      </c>
      <c r="AC169" s="0" t="s">
        <v>77</v>
      </c>
      <c r="AD169" s="0" t="n">
        <v>10000</v>
      </c>
      <c r="AE169" s="0" t="n">
        <v>9840.42</v>
      </c>
      <c r="AF169" s="0" t="n">
        <v>9840.42</v>
      </c>
      <c r="AG169" s="0" t="n">
        <v>0.000307</v>
      </c>
      <c r="AH169" s="4" t="b">
        <f aca="false">FALSE()</f>
        <v>0</v>
      </c>
      <c r="AJ169" s="4" t="b">
        <f aca="false">FALSE()</f>
        <v>0</v>
      </c>
      <c r="AK169" s="4" t="b">
        <f aca="false">FALSE()</f>
        <v>0</v>
      </c>
      <c r="AL169" s="0" t="s">
        <v>67</v>
      </c>
      <c r="AM169" s="0" t="n">
        <v>2.225</v>
      </c>
      <c r="AN169" s="0" t="n">
        <v>-2.163</v>
      </c>
      <c r="AO169" s="0" t="n">
        <v>4.512</v>
      </c>
      <c r="AP169" s="0" t="n">
        <v>-4.2639</v>
      </c>
      <c r="AQ169" s="0" t="n">
        <v>9.2722</v>
      </c>
      <c r="AR169" s="0" t="n">
        <v>-8.2796</v>
      </c>
    </row>
    <row r="170" customFormat="false" ht="15" hidden="false" customHeight="false" outlineLevel="0" collapsed="false">
      <c r="A170" s="0" t="s">
        <v>780</v>
      </c>
      <c r="B170" s="0" t="s">
        <v>781</v>
      </c>
      <c r="C170" s="0" t="s">
        <v>753</v>
      </c>
      <c r="D170" s="0" t="s">
        <v>526</v>
      </c>
      <c r="E170" s="0" t="s">
        <v>741</v>
      </c>
      <c r="F170" s="0" t="s">
        <v>61</v>
      </c>
      <c r="G170" s="0" t="n">
        <v>100</v>
      </c>
      <c r="H170" s="0" t="n">
        <v>0.099</v>
      </c>
      <c r="I170" s="0" t="n">
        <v>2</v>
      </c>
      <c r="J170" s="0" t="s">
        <v>62</v>
      </c>
      <c r="K170" s="0" t="s">
        <v>782</v>
      </c>
      <c r="L170" s="0" t="s">
        <v>783</v>
      </c>
      <c r="M170" s="0" t="s">
        <v>65</v>
      </c>
      <c r="N170" s="0" t="n">
        <v>2.3299</v>
      </c>
      <c r="O170" s="0" t="n">
        <v>5</v>
      </c>
      <c r="P170" s="0" t="n">
        <v>0.0876</v>
      </c>
      <c r="Q170" s="0" t="n">
        <v>102.0506</v>
      </c>
      <c r="R170" s="0" t="n">
        <v>0.5416</v>
      </c>
      <c r="S170" s="0" t="n">
        <v>103.3536</v>
      </c>
      <c r="T170" s="0" t="n">
        <v>1.8644</v>
      </c>
      <c r="U170" s="0" t="n">
        <v>1.7862</v>
      </c>
      <c r="V170" s="0" t="n">
        <v>4.1759</v>
      </c>
      <c r="W170" s="0" t="n">
        <v>0.0182</v>
      </c>
      <c r="X170" s="0" t="n">
        <v>1.697</v>
      </c>
      <c r="Y170" s="0" t="n">
        <v>4.1245</v>
      </c>
      <c r="Z170" s="0" t="n">
        <v>71</v>
      </c>
      <c r="AA170" s="0" t="n">
        <v>42</v>
      </c>
      <c r="AB170" s="0" t="n">
        <v>72</v>
      </c>
      <c r="AC170" s="0" t="s">
        <v>66</v>
      </c>
      <c r="AD170" s="0" t="n">
        <v>5000</v>
      </c>
      <c r="AE170" s="0" t="n">
        <v>5102.53</v>
      </c>
      <c r="AF170" s="0" t="n">
        <v>5102.53</v>
      </c>
      <c r="AG170" s="0" t="n">
        <v>0.000159</v>
      </c>
      <c r="AH170" s="4" t="b">
        <f aca="false">TRUE()</f>
        <v>1</v>
      </c>
      <c r="AI170" s="0" t="s">
        <v>511</v>
      </c>
      <c r="AJ170" s="4" t="b">
        <f aca="false">FALSE()</f>
        <v>0</v>
      </c>
      <c r="AK170" s="4" t="b">
        <f aca="false">FALSE()</f>
        <v>0</v>
      </c>
      <c r="AL170" s="0" t="s">
        <v>67</v>
      </c>
      <c r="AM170" s="0" t="n">
        <v>0.9167</v>
      </c>
      <c r="AN170" s="0" t="n">
        <v>-0.9061</v>
      </c>
      <c r="AO170" s="0" t="n">
        <v>1.8441</v>
      </c>
      <c r="AP170" s="0" t="n">
        <v>-1.8015</v>
      </c>
      <c r="AQ170" s="0" t="n">
        <v>3.7309</v>
      </c>
      <c r="AR170" s="0" t="n">
        <v>-3.5604</v>
      </c>
    </row>
    <row r="171" customFormat="false" ht="15" hidden="false" customHeight="false" outlineLevel="0" collapsed="false">
      <c r="A171" s="0" t="s">
        <v>784</v>
      </c>
      <c r="B171" s="0" t="s">
        <v>785</v>
      </c>
      <c r="C171" s="0" t="s">
        <v>753</v>
      </c>
      <c r="D171" s="0" t="s">
        <v>526</v>
      </c>
      <c r="E171" s="0" t="s">
        <v>768</v>
      </c>
      <c r="F171" s="0" t="s">
        <v>61</v>
      </c>
      <c r="G171" s="0" t="n">
        <v>100</v>
      </c>
      <c r="H171" s="0" t="n">
        <v>0.0992</v>
      </c>
      <c r="I171" s="0" t="n">
        <v>2</v>
      </c>
      <c r="J171" s="0" t="s">
        <v>62</v>
      </c>
      <c r="K171" s="0" t="s">
        <v>786</v>
      </c>
      <c r="L171" s="0" t="s">
        <v>787</v>
      </c>
      <c r="M171" s="0" t="s">
        <v>65</v>
      </c>
      <c r="N171" s="0" t="n">
        <v>1.3881</v>
      </c>
      <c r="O171" s="0" t="n">
        <v>4</v>
      </c>
      <c r="P171" s="0" t="n">
        <v>0.0949</v>
      </c>
      <c r="Q171" s="0" t="n">
        <v>100.4012</v>
      </c>
      <c r="R171" s="0" t="n">
        <v>0.8001</v>
      </c>
      <c r="S171" s="0" t="n">
        <v>102.8213</v>
      </c>
      <c r="T171" s="0" t="n">
        <v>0.9764</v>
      </c>
      <c r="U171" s="0" t="n">
        <v>0.9322</v>
      </c>
      <c r="V171" s="0" t="n">
        <v>1.3242</v>
      </c>
      <c r="W171" s="0" t="n">
        <v>0.0094</v>
      </c>
      <c r="X171" s="0" t="n">
        <v>0.9322</v>
      </c>
      <c r="Y171" s="0" t="n">
        <v>1.3242</v>
      </c>
      <c r="Z171" s="0" t="n">
        <v>72</v>
      </c>
      <c r="AA171" s="0" t="n">
        <v>72</v>
      </c>
      <c r="AB171" s="0" t="n">
        <v>80</v>
      </c>
      <c r="AC171" s="0" t="s">
        <v>91</v>
      </c>
      <c r="AD171" s="0" t="n">
        <v>100000</v>
      </c>
      <c r="AE171" s="0" t="n">
        <v>100401.2</v>
      </c>
      <c r="AF171" s="0" t="n">
        <v>100401.2</v>
      </c>
      <c r="AG171" s="0" t="n">
        <v>0.003132</v>
      </c>
      <c r="AH171" s="4" t="b">
        <f aca="false">FALSE()</f>
        <v>0</v>
      </c>
      <c r="AJ171" s="4" t="b">
        <f aca="false">FALSE()</f>
        <v>0</v>
      </c>
      <c r="AK171" s="4" t="b">
        <f aca="false">FALSE()</f>
        <v>0</v>
      </c>
      <c r="AL171" s="0" t="s">
        <v>67</v>
      </c>
      <c r="AM171" s="0" t="n">
        <v>0.4696</v>
      </c>
      <c r="AN171" s="0" t="n">
        <v>-0.4663</v>
      </c>
      <c r="AO171" s="0" t="n">
        <v>0.9426</v>
      </c>
      <c r="AP171" s="0" t="n">
        <v>-0.9293</v>
      </c>
      <c r="AQ171" s="0" t="n">
        <v>1.8985</v>
      </c>
      <c r="AR171" s="0" t="n">
        <v>-1.8453</v>
      </c>
    </row>
    <row r="172" customFormat="false" ht="15" hidden="false" customHeight="false" outlineLevel="0" collapsed="false">
      <c r="A172" s="0" t="s">
        <v>788</v>
      </c>
      <c r="B172" s="0" t="s">
        <v>789</v>
      </c>
      <c r="C172" s="0" t="s">
        <v>790</v>
      </c>
      <c r="D172" s="0" t="s">
        <v>526</v>
      </c>
      <c r="E172" s="0" t="s">
        <v>748</v>
      </c>
      <c r="F172" s="0" t="s">
        <v>61</v>
      </c>
      <c r="G172" s="0" t="n">
        <v>100</v>
      </c>
      <c r="H172" s="0" t="n">
        <v>0.0947</v>
      </c>
      <c r="I172" s="0" t="n">
        <v>2</v>
      </c>
      <c r="J172" s="0" t="s">
        <v>62</v>
      </c>
      <c r="K172" s="0" t="s">
        <v>791</v>
      </c>
      <c r="L172" s="0" t="s">
        <v>792</v>
      </c>
      <c r="M172" s="0" t="s">
        <v>65</v>
      </c>
      <c r="N172" s="0" t="n">
        <v>3.1184</v>
      </c>
      <c r="O172" s="0" t="n">
        <v>4</v>
      </c>
      <c r="P172" s="0" t="n">
        <v>0.0959</v>
      </c>
      <c r="Q172" s="0" t="n">
        <v>99.6935</v>
      </c>
      <c r="R172" s="0" t="n">
        <v>2.354</v>
      </c>
      <c r="S172" s="0" t="n">
        <v>101.9786</v>
      </c>
      <c r="T172" s="0" t="n">
        <v>2.6801</v>
      </c>
      <c r="U172" s="0" t="n">
        <v>2.5575</v>
      </c>
      <c r="V172" s="0" t="n">
        <v>8.2122</v>
      </c>
      <c r="W172" s="0" t="n">
        <v>0.0255</v>
      </c>
      <c r="X172" s="0" t="n">
        <v>2.5575</v>
      </c>
      <c r="Y172" s="0" t="n">
        <v>8.2122</v>
      </c>
      <c r="Z172" s="0" t="n">
        <v>133</v>
      </c>
      <c r="AA172" s="0" t="n">
        <v>133</v>
      </c>
      <c r="AB172" s="0" t="n">
        <v>129</v>
      </c>
      <c r="AC172" s="0" t="s">
        <v>230</v>
      </c>
      <c r="AD172" s="0" t="n">
        <v>200000</v>
      </c>
      <c r="AE172" s="0" t="n">
        <v>199387</v>
      </c>
      <c r="AF172" s="0" t="n">
        <v>199387</v>
      </c>
      <c r="AG172" s="0" t="n">
        <v>0.006219</v>
      </c>
      <c r="AH172" s="4" t="b">
        <f aca="false">FALSE()</f>
        <v>0</v>
      </c>
      <c r="AJ172" s="4" t="b">
        <f aca="false">FALSE()</f>
        <v>0</v>
      </c>
      <c r="AK172" s="4" t="b">
        <f aca="false">FALSE()</f>
        <v>0</v>
      </c>
      <c r="AL172" s="0" t="s">
        <v>67</v>
      </c>
      <c r="AM172" s="0" t="n">
        <v>1.2851</v>
      </c>
      <c r="AN172" s="0" t="n">
        <v>-1.2646</v>
      </c>
      <c r="AO172" s="0" t="n">
        <v>2.5906</v>
      </c>
      <c r="AP172" s="0" t="n">
        <v>-2.5087</v>
      </c>
      <c r="AQ172" s="0" t="n">
        <v>5.2631</v>
      </c>
      <c r="AR172" s="0" t="n">
        <v>-4.9356</v>
      </c>
    </row>
    <row r="173" customFormat="false" ht="15" hidden="false" customHeight="false" outlineLevel="0" collapsed="false">
      <c r="A173" s="0" t="s">
        <v>793</v>
      </c>
      <c r="B173" s="0" t="s">
        <v>794</v>
      </c>
      <c r="C173" s="0" t="s">
        <v>753</v>
      </c>
      <c r="D173" s="0" t="s">
        <v>526</v>
      </c>
      <c r="E173" s="0" t="s">
        <v>748</v>
      </c>
      <c r="F173" s="0" t="s">
        <v>61</v>
      </c>
      <c r="G173" s="0" t="n">
        <v>100</v>
      </c>
      <c r="H173" s="0" t="n">
        <v>0.0869</v>
      </c>
      <c r="I173" s="0" t="n">
        <v>2</v>
      </c>
      <c r="J173" s="0" t="s">
        <v>62</v>
      </c>
      <c r="K173" s="0" t="s">
        <v>795</v>
      </c>
      <c r="L173" s="0" t="s">
        <v>796</v>
      </c>
      <c r="M173" s="0" t="s">
        <v>65</v>
      </c>
      <c r="N173" s="0" t="n">
        <v>2.9952</v>
      </c>
      <c r="O173" s="0" t="n">
        <v>4</v>
      </c>
      <c r="P173" s="0" t="n">
        <v>0.0983</v>
      </c>
      <c r="Q173" s="0" t="n">
        <v>97.5264</v>
      </c>
      <c r="R173" s="0" t="n">
        <v>1.5844</v>
      </c>
      <c r="S173" s="0" t="n">
        <v>98.2558</v>
      </c>
      <c r="T173" s="0" t="n">
        <v>2.2974</v>
      </c>
      <c r="U173" s="0" t="n">
        <v>2.1898</v>
      </c>
      <c r="V173" s="0" t="n">
        <v>6.0818</v>
      </c>
      <c r="W173" s="0" t="n">
        <v>0.0214</v>
      </c>
      <c r="X173" s="0" t="n">
        <v>2.1898</v>
      </c>
      <c r="Y173" s="0" t="n">
        <v>6.0818</v>
      </c>
      <c r="Z173" s="0" t="n">
        <v>150</v>
      </c>
      <c r="AA173" s="0" t="n">
        <v>150</v>
      </c>
      <c r="AB173" s="0" t="n">
        <v>145</v>
      </c>
      <c r="AC173" s="0" t="s">
        <v>66</v>
      </c>
      <c r="AD173" s="0" t="n">
        <v>5000</v>
      </c>
      <c r="AE173" s="0" t="n">
        <v>4876.32</v>
      </c>
      <c r="AF173" s="0" t="n">
        <v>4876.32</v>
      </c>
      <c r="AG173" s="0" t="n">
        <v>0.000152</v>
      </c>
      <c r="AH173" s="4" t="b">
        <f aca="false">FALSE()</f>
        <v>0</v>
      </c>
      <c r="AJ173" s="4" t="b">
        <f aca="false">FALSE()</f>
        <v>0</v>
      </c>
      <c r="AK173" s="4" t="b">
        <f aca="false">FALSE()</f>
        <v>0</v>
      </c>
      <c r="AL173" s="0" t="s">
        <v>67</v>
      </c>
      <c r="AM173" s="0" t="n">
        <v>1.0752</v>
      </c>
      <c r="AN173" s="0" t="n">
        <v>-1.0604</v>
      </c>
      <c r="AO173" s="0" t="n">
        <v>2.1653</v>
      </c>
      <c r="AP173" s="0" t="n">
        <v>-2.106</v>
      </c>
      <c r="AQ173" s="0" t="n">
        <v>4.3899</v>
      </c>
      <c r="AR173" s="0" t="n">
        <v>-4.1526</v>
      </c>
    </row>
    <row r="174" customFormat="false" ht="15" hidden="false" customHeight="false" outlineLevel="0" collapsed="false">
      <c r="A174" s="0" t="s">
        <v>797</v>
      </c>
      <c r="B174" s="0" t="s">
        <v>798</v>
      </c>
      <c r="C174" s="0" t="s">
        <v>799</v>
      </c>
      <c r="D174" s="0" t="s">
        <v>526</v>
      </c>
      <c r="E174" s="0" t="s">
        <v>741</v>
      </c>
      <c r="F174" s="0" t="s">
        <v>61</v>
      </c>
      <c r="G174" s="0" t="n">
        <v>100</v>
      </c>
      <c r="H174" s="0" t="n">
        <v>0.0994</v>
      </c>
      <c r="I174" s="0" t="n">
        <v>2</v>
      </c>
      <c r="J174" s="0" t="s">
        <v>62</v>
      </c>
      <c r="K174" s="0" t="s">
        <v>800</v>
      </c>
      <c r="L174" s="0" t="s">
        <v>801</v>
      </c>
      <c r="M174" s="0" t="s">
        <v>65</v>
      </c>
      <c r="N174" s="0" t="n">
        <v>2.527</v>
      </c>
      <c r="O174" s="0" t="n">
        <v>5</v>
      </c>
      <c r="P174" s="0" t="n">
        <v>0.0907</v>
      </c>
      <c r="Q174" s="0" t="n">
        <v>101.9078</v>
      </c>
      <c r="R174" s="0" t="n">
        <v>1.96</v>
      </c>
      <c r="S174" s="0" t="n">
        <v>103.3443</v>
      </c>
      <c r="T174" s="0" t="n">
        <v>2.2766</v>
      </c>
      <c r="U174" s="0" t="n">
        <v>2.1778</v>
      </c>
      <c r="V174" s="0" t="n">
        <v>6.0502</v>
      </c>
      <c r="W174" s="0" t="n">
        <v>0.0222</v>
      </c>
      <c r="X174" s="0" t="n">
        <v>2.234</v>
      </c>
      <c r="Y174" s="0" t="n">
        <v>5.3474</v>
      </c>
      <c r="Z174" s="0" t="n">
        <v>108</v>
      </c>
      <c r="AA174" s="0" t="n">
        <v>83</v>
      </c>
      <c r="AB174" s="0" t="n">
        <v>117</v>
      </c>
      <c r="AC174" s="0" t="s">
        <v>66</v>
      </c>
      <c r="AD174" s="0" t="n">
        <v>100000</v>
      </c>
      <c r="AE174" s="0" t="n">
        <v>101907.8</v>
      </c>
      <c r="AF174" s="0" t="n">
        <v>101907.8</v>
      </c>
      <c r="AG174" s="0" t="n">
        <v>0.003179</v>
      </c>
      <c r="AH174" s="4" t="b">
        <f aca="false">TRUE()</f>
        <v>1</v>
      </c>
      <c r="AI174" s="0" t="s">
        <v>764</v>
      </c>
      <c r="AJ174" s="4" t="b">
        <f aca="false">FALSE()</f>
        <v>0</v>
      </c>
      <c r="AK174" s="4" t="b">
        <f aca="false">FALSE()</f>
        <v>0</v>
      </c>
      <c r="AL174" s="0" t="s">
        <v>67</v>
      </c>
      <c r="AM174" s="0" t="n">
        <v>1.1174</v>
      </c>
      <c r="AN174" s="0" t="n">
        <v>-1.102</v>
      </c>
      <c r="AO174" s="0" t="n">
        <v>2.2502</v>
      </c>
      <c r="AP174" s="0" t="n">
        <v>-2.1885</v>
      </c>
      <c r="AQ174" s="0" t="n">
        <v>4.562</v>
      </c>
      <c r="AR174" s="0" t="n">
        <v>-4.3154</v>
      </c>
    </row>
    <row r="175" customFormat="false" ht="15" hidden="false" customHeight="false" outlineLevel="0" collapsed="false">
      <c r="A175" s="0" t="s">
        <v>802</v>
      </c>
      <c r="B175" s="0" t="s">
        <v>803</v>
      </c>
      <c r="C175" s="0" t="s">
        <v>747</v>
      </c>
      <c r="D175" s="0" t="s">
        <v>526</v>
      </c>
      <c r="E175" s="0" t="s">
        <v>741</v>
      </c>
      <c r="F175" s="0" t="s">
        <v>61</v>
      </c>
      <c r="G175" s="0" t="n">
        <v>100</v>
      </c>
      <c r="H175" s="0" t="n">
        <v>0.0946</v>
      </c>
      <c r="I175" s="0" t="n">
        <v>2</v>
      </c>
      <c r="J175" s="0" t="s">
        <v>62</v>
      </c>
      <c r="K175" s="0" t="s">
        <v>804</v>
      </c>
      <c r="L175" s="0" t="s">
        <v>657</v>
      </c>
      <c r="M175" s="0" t="s">
        <v>65</v>
      </c>
      <c r="N175" s="0" t="n">
        <v>0.7912</v>
      </c>
      <c r="O175" s="0" t="n">
        <v>6</v>
      </c>
      <c r="P175" s="0" t="n">
        <v>0.0997</v>
      </c>
      <c r="Q175" s="0" t="n">
        <v>99.7571</v>
      </c>
      <c r="R175" s="0" t="n">
        <v>2.1125</v>
      </c>
      <c r="S175" s="0" t="n">
        <v>101.4233</v>
      </c>
      <c r="T175" s="0" t="n">
        <v>0.5</v>
      </c>
      <c r="U175" s="0" t="n">
        <v>0.4763</v>
      </c>
      <c r="V175" s="0" t="n">
        <v>0.4536</v>
      </c>
      <c r="W175" s="0" t="n">
        <v>0.0048</v>
      </c>
      <c r="X175" s="0" t="n">
        <v>0.4763</v>
      </c>
      <c r="Y175" s="0" t="n">
        <v>0.4536</v>
      </c>
      <c r="Z175" s="0" t="n">
        <v>136</v>
      </c>
      <c r="AA175" s="0" t="n">
        <v>136</v>
      </c>
      <c r="AB175" s="0" t="n">
        <v>144</v>
      </c>
      <c r="AC175" s="0" t="s">
        <v>173</v>
      </c>
      <c r="AD175" s="0" t="n">
        <v>20000</v>
      </c>
      <c r="AE175" s="0" t="n">
        <v>19951.42</v>
      </c>
      <c r="AF175" s="0" t="n">
        <v>19951.42</v>
      </c>
      <c r="AG175" s="0" t="n">
        <v>0.000622</v>
      </c>
      <c r="AH175" s="4" t="b">
        <f aca="false">FALSE()</f>
        <v>0</v>
      </c>
      <c r="AJ175" s="4" t="b">
        <f aca="false">FALSE()</f>
        <v>0</v>
      </c>
      <c r="AK175" s="4" t="b">
        <f aca="false">FALSE()</f>
        <v>0</v>
      </c>
      <c r="AL175" s="0" t="s">
        <v>67</v>
      </c>
      <c r="AM175" s="0" t="n">
        <v>0.2381</v>
      </c>
      <c r="AN175" s="0" t="n">
        <v>-0.237</v>
      </c>
      <c r="AO175" s="0" t="n">
        <v>0.4774</v>
      </c>
      <c r="AP175" s="0" t="n">
        <v>-0.4729</v>
      </c>
      <c r="AQ175" s="0" t="n">
        <v>0.9593</v>
      </c>
      <c r="AR175" s="0" t="n">
        <v>-0.9412</v>
      </c>
    </row>
    <row r="176" customFormat="false" ht="15" hidden="false" customHeight="false" outlineLevel="0" collapsed="false">
      <c r="A176" s="0" t="s">
        <v>805</v>
      </c>
      <c r="B176" s="0" t="s">
        <v>806</v>
      </c>
      <c r="C176" s="0" t="s">
        <v>753</v>
      </c>
      <c r="D176" s="0" t="s">
        <v>526</v>
      </c>
      <c r="E176" s="0" t="s">
        <v>748</v>
      </c>
      <c r="F176" s="0" t="s">
        <v>61</v>
      </c>
      <c r="G176" s="0" t="n">
        <v>100</v>
      </c>
      <c r="H176" s="0" t="n">
        <v>0.0853</v>
      </c>
      <c r="I176" s="0" t="n">
        <v>2</v>
      </c>
      <c r="J176" s="0" t="s">
        <v>62</v>
      </c>
      <c r="K176" s="0" t="s">
        <v>171</v>
      </c>
      <c r="L176" s="0" t="s">
        <v>807</v>
      </c>
      <c r="M176" s="0" t="s">
        <v>65</v>
      </c>
      <c r="N176" s="0" t="n">
        <v>2.6064</v>
      </c>
      <c r="O176" s="0" t="n">
        <v>4</v>
      </c>
      <c r="P176" s="0" t="n">
        <v>0.0864</v>
      </c>
      <c r="Q176" s="0" t="n">
        <v>99.7573</v>
      </c>
      <c r="R176" s="0" t="n">
        <v>1.0469</v>
      </c>
      <c r="S176" s="0" t="n">
        <v>99.8735</v>
      </c>
      <c r="T176" s="0" t="n">
        <v>2.3034</v>
      </c>
      <c r="U176" s="0" t="n">
        <v>2.208</v>
      </c>
      <c r="V176" s="0" t="n">
        <v>6.1728</v>
      </c>
      <c r="W176" s="0" t="n">
        <v>0.022</v>
      </c>
      <c r="X176" s="0" t="n">
        <v>2.208</v>
      </c>
      <c r="Y176" s="0" t="n">
        <v>6.1728</v>
      </c>
      <c r="Z176" s="0" t="n">
        <v>133</v>
      </c>
      <c r="AA176" s="0" t="n">
        <v>133</v>
      </c>
      <c r="AB176" s="0" t="n">
        <v>128</v>
      </c>
      <c r="AC176" s="0" t="s">
        <v>66</v>
      </c>
      <c r="AD176" s="0" t="n">
        <v>50000</v>
      </c>
      <c r="AE176" s="0" t="n">
        <v>49878.65</v>
      </c>
      <c r="AF176" s="0" t="n">
        <v>49878.65</v>
      </c>
      <c r="AG176" s="0" t="n">
        <v>0.001556</v>
      </c>
      <c r="AH176" s="4" t="b">
        <f aca="false">FALSE()</f>
        <v>0</v>
      </c>
      <c r="AJ176" s="4" t="b">
        <f aca="false">FALSE()</f>
        <v>0</v>
      </c>
      <c r="AK176" s="4" t="b">
        <f aca="false">FALSE()</f>
        <v>0</v>
      </c>
      <c r="AL176" s="0" t="s">
        <v>67</v>
      </c>
      <c r="AM176" s="0" t="n">
        <v>1.109</v>
      </c>
      <c r="AN176" s="0" t="n">
        <v>-1.0936</v>
      </c>
      <c r="AO176" s="0" t="n">
        <v>2.2334</v>
      </c>
      <c r="AP176" s="0" t="n">
        <v>-2.1719</v>
      </c>
      <c r="AQ176" s="0" t="n">
        <v>4.5284</v>
      </c>
      <c r="AR176" s="0" t="n">
        <v>-4.2821</v>
      </c>
    </row>
    <row r="177" customFormat="false" ht="15" hidden="false" customHeight="false" outlineLevel="0" collapsed="false">
      <c r="A177" s="0" t="s">
        <v>808</v>
      </c>
      <c r="B177" s="0" t="s">
        <v>809</v>
      </c>
      <c r="C177" s="0" t="s">
        <v>810</v>
      </c>
      <c r="D177" s="0" t="s">
        <v>526</v>
      </c>
      <c r="E177" s="0" t="s">
        <v>741</v>
      </c>
      <c r="F177" s="0" t="s">
        <v>61</v>
      </c>
      <c r="G177" s="0" t="n">
        <v>100</v>
      </c>
      <c r="H177" s="0" t="n">
        <v>0.0895</v>
      </c>
      <c r="I177" s="0" t="n">
        <v>2</v>
      </c>
      <c r="J177" s="0" t="s">
        <v>62</v>
      </c>
      <c r="K177" s="0" t="s">
        <v>811</v>
      </c>
      <c r="L177" s="0" t="s">
        <v>812</v>
      </c>
      <c r="M177" s="0" t="s">
        <v>65</v>
      </c>
      <c r="N177" s="0" t="n">
        <v>1.191</v>
      </c>
      <c r="O177" s="0" t="n">
        <v>2</v>
      </c>
      <c r="P177" s="0" t="n">
        <v>0.091</v>
      </c>
      <c r="Q177" s="0" t="n">
        <v>99.8596</v>
      </c>
      <c r="R177" s="0" t="n">
        <v>1.4362</v>
      </c>
      <c r="S177" s="0" t="n">
        <v>100.7267</v>
      </c>
      <c r="T177" s="0" t="n">
        <v>0.9786</v>
      </c>
      <c r="U177" s="0" t="n">
        <v>0.936</v>
      </c>
      <c r="V177" s="0" t="n">
        <v>1.3331</v>
      </c>
      <c r="W177" s="0" t="n">
        <v>0.0093</v>
      </c>
      <c r="X177" s="0" t="n">
        <v>0.936</v>
      </c>
      <c r="Y177" s="0" t="n">
        <v>1.3331</v>
      </c>
      <c r="Z177" s="0" t="n">
        <v>144</v>
      </c>
      <c r="AA177" s="0" t="n">
        <v>144</v>
      </c>
      <c r="AB177" s="0" t="n">
        <v>150</v>
      </c>
      <c r="AC177" s="0" t="s">
        <v>91</v>
      </c>
      <c r="AD177" s="0" t="n">
        <v>50000</v>
      </c>
      <c r="AE177" s="0" t="n">
        <v>49929.8</v>
      </c>
      <c r="AF177" s="0" t="n">
        <v>49929.8</v>
      </c>
      <c r="AG177" s="0" t="n">
        <v>0.001557</v>
      </c>
      <c r="AH177" s="4" t="b">
        <f aca="false">FALSE()</f>
        <v>0</v>
      </c>
      <c r="AJ177" s="4" t="b">
        <f aca="false">FALSE()</f>
        <v>0</v>
      </c>
      <c r="AK177" s="4" t="b">
        <f aca="false">FALSE()</f>
        <v>0</v>
      </c>
      <c r="AL177" s="0" t="s">
        <v>67</v>
      </c>
      <c r="AM177" s="0" t="n">
        <v>0.469</v>
      </c>
      <c r="AN177" s="0" t="n">
        <v>-0.4657</v>
      </c>
      <c r="AO177" s="0" t="n">
        <v>0.9413</v>
      </c>
      <c r="AP177" s="0" t="n">
        <v>-0.928</v>
      </c>
      <c r="AQ177" s="0" t="n">
        <v>1.896</v>
      </c>
      <c r="AR177" s="0" t="n">
        <v>-1.8427</v>
      </c>
    </row>
    <row r="178" customFormat="false" ht="15" hidden="false" customHeight="false" outlineLevel="0" collapsed="false">
      <c r="A178" s="0" t="s">
        <v>813</v>
      </c>
      <c r="B178" s="0" t="s">
        <v>814</v>
      </c>
      <c r="C178" s="0" t="s">
        <v>810</v>
      </c>
      <c r="D178" s="0" t="s">
        <v>526</v>
      </c>
      <c r="E178" s="0" t="s">
        <v>768</v>
      </c>
      <c r="F178" s="0" t="s">
        <v>61</v>
      </c>
      <c r="G178" s="0" t="n">
        <v>100</v>
      </c>
      <c r="H178" s="0" t="n">
        <v>0.0812</v>
      </c>
      <c r="I178" s="0" t="n">
        <v>2</v>
      </c>
      <c r="J178" s="0" t="s">
        <v>62</v>
      </c>
      <c r="K178" s="0" t="s">
        <v>815</v>
      </c>
      <c r="L178" s="0" t="s">
        <v>816</v>
      </c>
      <c r="M178" s="0" t="s">
        <v>65</v>
      </c>
      <c r="N178" s="0" t="n">
        <v>2.4942</v>
      </c>
      <c r="O178" s="0" t="n">
        <v>7</v>
      </c>
      <c r="P178" s="0" t="n">
        <v>0.0863</v>
      </c>
      <c r="Q178" s="0" t="n">
        <v>99.0812</v>
      </c>
      <c r="R178" s="0" t="n">
        <v>1.5356</v>
      </c>
      <c r="S178" s="0" t="n">
        <v>99.5431</v>
      </c>
      <c r="T178" s="0" t="n">
        <v>1.8854</v>
      </c>
      <c r="U178" s="0" t="n">
        <v>1.8074</v>
      </c>
      <c r="V178" s="0" t="n">
        <v>4.245</v>
      </c>
      <c r="W178" s="0" t="n">
        <v>0.0179</v>
      </c>
      <c r="X178" s="0" t="n">
        <v>1.8074</v>
      </c>
      <c r="Y178" s="0" t="n">
        <v>4.245</v>
      </c>
      <c r="Z178" s="0" t="n">
        <v>129</v>
      </c>
      <c r="AA178" s="0" t="n">
        <v>129</v>
      </c>
      <c r="AB178" s="0" t="n">
        <v>125</v>
      </c>
      <c r="AC178" s="0" t="s">
        <v>66</v>
      </c>
      <c r="AD178" s="0" t="n">
        <v>20000</v>
      </c>
      <c r="AE178" s="0" t="n">
        <v>19816.24</v>
      </c>
      <c r="AF178" s="0" t="n">
        <v>19816.24</v>
      </c>
      <c r="AG178" s="0" t="n">
        <v>0.000618</v>
      </c>
      <c r="AH178" s="4" t="b">
        <f aca="false">FALSE()</f>
        <v>0</v>
      </c>
      <c r="AJ178" s="4" t="b">
        <f aca="false">FALSE()</f>
        <v>0</v>
      </c>
      <c r="AK178" s="4" t="b">
        <f aca="false">FALSE()</f>
        <v>0</v>
      </c>
      <c r="AL178" s="0" t="s">
        <v>67</v>
      </c>
      <c r="AM178" s="0" t="n">
        <v>0.9007</v>
      </c>
      <c r="AN178" s="0" t="n">
        <v>-0.8901</v>
      </c>
      <c r="AO178" s="0" t="n">
        <v>1.8118</v>
      </c>
      <c r="AP178" s="0" t="n">
        <v>-1.7698</v>
      </c>
      <c r="AQ178" s="0" t="n">
        <v>3.6657</v>
      </c>
      <c r="AR178" s="0" t="n">
        <v>-3.4975</v>
      </c>
    </row>
    <row r="179" customFormat="false" ht="15" hidden="false" customHeight="false" outlineLevel="0" collapsed="false">
      <c r="A179" s="0" t="s">
        <v>817</v>
      </c>
      <c r="B179" s="0" t="s">
        <v>818</v>
      </c>
      <c r="C179" s="0" t="s">
        <v>810</v>
      </c>
      <c r="D179" s="0" t="s">
        <v>526</v>
      </c>
      <c r="E179" s="0" t="s">
        <v>748</v>
      </c>
      <c r="F179" s="0" t="s">
        <v>61</v>
      </c>
      <c r="G179" s="0" t="n">
        <v>100</v>
      </c>
      <c r="H179" s="0" t="n">
        <v>0.09</v>
      </c>
      <c r="I179" s="0" t="n">
        <v>2</v>
      </c>
      <c r="J179" s="0" t="s">
        <v>62</v>
      </c>
      <c r="K179" s="0" t="s">
        <v>381</v>
      </c>
      <c r="L179" s="0" t="s">
        <v>819</v>
      </c>
      <c r="M179" s="0" t="s">
        <v>65</v>
      </c>
      <c r="N179" s="0" t="n">
        <v>1.4976</v>
      </c>
      <c r="O179" s="0" t="n">
        <v>6</v>
      </c>
      <c r="P179" s="0" t="n">
        <v>0.0952</v>
      </c>
      <c r="Q179" s="0" t="n">
        <v>99.5149</v>
      </c>
      <c r="R179" s="0" t="n">
        <v>0.389</v>
      </c>
      <c r="S179" s="0" t="n">
        <v>101.7297</v>
      </c>
      <c r="T179" s="0" t="n">
        <v>0.9784</v>
      </c>
      <c r="U179" s="0" t="n">
        <v>0.9339</v>
      </c>
      <c r="V179" s="0" t="n">
        <v>1.3275</v>
      </c>
      <c r="W179" s="0" t="n">
        <v>0.0093</v>
      </c>
      <c r="X179" s="0" t="n">
        <v>0.978</v>
      </c>
      <c r="Y179" s="0" t="n">
        <v>1.2894</v>
      </c>
      <c r="Z179" s="0" t="n">
        <v>78</v>
      </c>
      <c r="AA179" s="0" t="n">
        <v>54</v>
      </c>
      <c r="AB179" s="0" t="n">
        <v>77</v>
      </c>
      <c r="AC179" s="0" t="s">
        <v>91</v>
      </c>
      <c r="AD179" s="0" t="n">
        <v>100000</v>
      </c>
      <c r="AE179" s="0" t="n">
        <v>99514.9</v>
      </c>
      <c r="AF179" s="0" t="n">
        <v>99514.9</v>
      </c>
      <c r="AG179" s="0" t="n">
        <v>0.003104</v>
      </c>
      <c r="AH179" s="4" t="b">
        <f aca="false">TRUE()</f>
        <v>1</v>
      </c>
      <c r="AI179" s="0" t="s">
        <v>820</v>
      </c>
      <c r="AJ179" s="4" t="b">
        <f aca="false">FALSE()</f>
        <v>0</v>
      </c>
      <c r="AK179" s="4" t="b">
        <f aca="false">FALSE()</f>
        <v>0</v>
      </c>
      <c r="AL179" s="0" t="s">
        <v>67</v>
      </c>
      <c r="AM179" s="0" t="n">
        <v>0.4663</v>
      </c>
      <c r="AN179" s="0" t="n">
        <v>-0.463</v>
      </c>
      <c r="AO179" s="0" t="n">
        <v>0.936</v>
      </c>
      <c r="AP179" s="0" t="n">
        <v>-0.9228</v>
      </c>
      <c r="AQ179" s="0" t="n">
        <v>1.8852</v>
      </c>
      <c r="AR179" s="0" t="n">
        <v>-1.8323</v>
      </c>
    </row>
    <row r="180" customFormat="false" ht="15" hidden="false" customHeight="false" outlineLevel="0" collapsed="false">
      <c r="A180" s="0" t="s">
        <v>821</v>
      </c>
      <c r="B180" s="0" t="s">
        <v>822</v>
      </c>
      <c r="C180" s="0" t="s">
        <v>740</v>
      </c>
      <c r="D180" s="0" t="s">
        <v>526</v>
      </c>
      <c r="E180" s="0" t="s">
        <v>768</v>
      </c>
      <c r="F180" s="0" t="s">
        <v>61</v>
      </c>
      <c r="G180" s="0" t="n">
        <v>100</v>
      </c>
      <c r="H180" s="0" t="n">
        <v>0.0911</v>
      </c>
      <c r="I180" s="0" t="n">
        <v>2</v>
      </c>
      <c r="J180" s="0" t="s">
        <v>62</v>
      </c>
      <c r="K180" s="0" t="s">
        <v>823</v>
      </c>
      <c r="L180" s="0" t="s">
        <v>824</v>
      </c>
      <c r="M180" s="0" t="s">
        <v>65</v>
      </c>
      <c r="N180" s="0" t="n">
        <v>3.8686</v>
      </c>
      <c r="O180" s="0" t="n">
        <v>6</v>
      </c>
      <c r="P180" s="0" t="n">
        <v>0.0891</v>
      </c>
      <c r="Q180" s="0" t="n">
        <v>100.5902</v>
      </c>
      <c r="R180" s="0" t="n">
        <v>1.419</v>
      </c>
      <c r="S180" s="0" t="n">
        <v>101.7803</v>
      </c>
      <c r="T180" s="0" t="n">
        <v>3.0758</v>
      </c>
      <c r="U180" s="0" t="n">
        <v>2.9446</v>
      </c>
      <c r="V180" s="0" t="n">
        <v>10.7763</v>
      </c>
      <c r="W180" s="0" t="n">
        <v>0.0296</v>
      </c>
      <c r="X180" s="0" t="n">
        <v>2.9446</v>
      </c>
      <c r="Y180" s="0" t="n">
        <v>10.7763</v>
      </c>
      <c r="Z180" s="0" t="n">
        <v>61</v>
      </c>
      <c r="AA180" s="0" t="n">
        <v>61</v>
      </c>
      <c r="AB180" s="0" t="n">
        <v>69</v>
      </c>
      <c r="AC180" s="0" t="s">
        <v>230</v>
      </c>
      <c r="AD180" s="0" t="n">
        <v>50000</v>
      </c>
      <c r="AE180" s="0" t="n">
        <v>50295.1</v>
      </c>
      <c r="AF180" s="0" t="n">
        <v>50295.1</v>
      </c>
      <c r="AG180" s="0" t="n">
        <v>0.001569</v>
      </c>
      <c r="AH180" s="4" t="b">
        <f aca="false">FALSE()</f>
        <v>0</v>
      </c>
      <c r="AJ180" s="4" t="b">
        <f aca="false">FALSE()</f>
        <v>0</v>
      </c>
      <c r="AK180" s="4" t="b">
        <f aca="false">FALSE()</f>
        <v>0</v>
      </c>
      <c r="AL180" s="0" t="s">
        <v>67</v>
      </c>
      <c r="AM180" s="0" t="n">
        <v>1.4945</v>
      </c>
      <c r="AN180" s="0" t="n">
        <v>-1.4674</v>
      </c>
      <c r="AO180" s="0" t="n">
        <v>3.0162</v>
      </c>
      <c r="AP180" s="0" t="n">
        <v>-2.9078</v>
      </c>
      <c r="AQ180" s="0" t="n">
        <v>6.1408</v>
      </c>
      <c r="AR180" s="0" t="n">
        <v>-5.7072</v>
      </c>
    </row>
    <row r="181" customFormat="false" ht="15" hidden="false" customHeight="false" outlineLevel="0" collapsed="false">
      <c r="A181" s="0" t="s">
        <v>825</v>
      </c>
      <c r="B181" s="0" t="s">
        <v>826</v>
      </c>
      <c r="C181" s="0" t="s">
        <v>747</v>
      </c>
      <c r="D181" s="0" t="s">
        <v>526</v>
      </c>
      <c r="E181" s="0" t="s">
        <v>768</v>
      </c>
      <c r="F181" s="0" t="s">
        <v>61</v>
      </c>
      <c r="G181" s="0" t="n">
        <v>100</v>
      </c>
      <c r="H181" s="0" t="n">
        <v>0.0973</v>
      </c>
      <c r="I181" s="0" t="n">
        <v>2</v>
      </c>
      <c r="J181" s="0" t="s">
        <v>62</v>
      </c>
      <c r="K181" s="0" t="s">
        <v>827</v>
      </c>
      <c r="L181" s="0" t="s">
        <v>828</v>
      </c>
      <c r="M181" s="0" t="s">
        <v>65</v>
      </c>
      <c r="N181" s="0" t="n">
        <v>0.8679</v>
      </c>
      <c r="O181" s="0" t="n">
        <v>4</v>
      </c>
      <c r="P181" s="0" t="n">
        <v>0.089</v>
      </c>
      <c r="Q181" s="0" t="n">
        <v>100.3973</v>
      </c>
      <c r="R181" s="0" t="n">
        <v>1.1507</v>
      </c>
      <c r="S181" s="0" t="n">
        <v>100.8162</v>
      </c>
      <c r="T181" s="0" t="n">
        <v>0.5</v>
      </c>
      <c r="U181" s="0" t="n">
        <v>0.4787</v>
      </c>
      <c r="V181" s="0" t="n">
        <v>0.4583</v>
      </c>
      <c r="W181" s="0" t="n">
        <v>0.0048</v>
      </c>
      <c r="X181" s="0" t="n">
        <v>0.4787</v>
      </c>
      <c r="Y181" s="0" t="n">
        <v>0.4583</v>
      </c>
      <c r="Z181" s="0" t="n">
        <v>122</v>
      </c>
      <c r="AA181" s="0" t="n">
        <v>122</v>
      </c>
      <c r="AB181" s="0" t="n">
        <v>129</v>
      </c>
      <c r="AC181" s="0" t="s">
        <v>173</v>
      </c>
      <c r="AD181" s="0" t="n">
        <v>200000</v>
      </c>
      <c r="AE181" s="0" t="n">
        <v>200794.6</v>
      </c>
      <c r="AF181" s="0" t="n">
        <v>200794.6</v>
      </c>
      <c r="AG181" s="0" t="n">
        <v>0.006263</v>
      </c>
      <c r="AH181" s="4" t="b">
        <f aca="false">FALSE()</f>
        <v>0</v>
      </c>
      <c r="AJ181" s="4" t="b">
        <f aca="false">FALSE()</f>
        <v>0</v>
      </c>
      <c r="AK181" s="4" t="b">
        <f aca="false">FALSE()</f>
        <v>0</v>
      </c>
      <c r="AL181" s="0" t="s">
        <v>67</v>
      </c>
      <c r="AM181" s="0" t="n">
        <v>0.2409</v>
      </c>
      <c r="AN181" s="0" t="n">
        <v>-0.2397</v>
      </c>
      <c r="AO181" s="0" t="n">
        <v>0.4829</v>
      </c>
      <c r="AP181" s="0" t="n">
        <v>-0.4783</v>
      </c>
      <c r="AQ181" s="0" t="n">
        <v>0.9704</v>
      </c>
      <c r="AR181" s="0" t="n">
        <v>-0.952</v>
      </c>
    </row>
    <row r="182" customFormat="false" ht="15" hidden="false" customHeight="false" outlineLevel="0" collapsed="false">
      <c r="A182" s="0" t="s">
        <v>829</v>
      </c>
      <c r="B182" s="0" t="s">
        <v>830</v>
      </c>
      <c r="C182" s="0" t="s">
        <v>753</v>
      </c>
      <c r="D182" s="0" t="s">
        <v>526</v>
      </c>
      <c r="E182" s="0" t="s">
        <v>748</v>
      </c>
      <c r="F182" s="0" t="s">
        <v>61</v>
      </c>
      <c r="G182" s="0" t="n">
        <v>100</v>
      </c>
      <c r="H182" s="0" t="n">
        <v>0.0804</v>
      </c>
      <c r="I182" s="0" t="n">
        <v>2</v>
      </c>
      <c r="J182" s="0" t="s">
        <v>62</v>
      </c>
      <c r="K182" s="0" t="s">
        <v>563</v>
      </c>
      <c r="L182" s="0" t="s">
        <v>831</v>
      </c>
      <c r="M182" s="0" t="s">
        <v>65</v>
      </c>
      <c r="N182" s="0" t="n">
        <v>2.5681</v>
      </c>
      <c r="O182" s="0" t="n">
        <v>4</v>
      </c>
      <c r="P182" s="0" t="n">
        <v>0.0976</v>
      </c>
      <c r="Q182" s="0" t="n">
        <v>96.2643</v>
      </c>
      <c r="R182" s="0" t="n">
        <v>1.9547</v>
      </c>
      <c r="S182" s="0" t="n">
        <v>96.7225</v>
      </c>
      <c r="T182" s="0" t="n">
        <v>2.31</v>
      </c>
      <c r="U182" s="0" t="n">
        <v>2.2025</v>
      </c>
      <c r="V182" s="0" t="n">
        <v>6.1313</v>
      </c>
      <c r="W182" s="0" t="n">
        <v>0.0212</v>
      </c>
      <c r="X182" s="0" t="n">
        <v>2.2025</v>
      </c>
      <c r="Y182" s="0" t="n">
        <v>6.1313</v>
      </c>
      <c r="Z182" s="0" t="n">
        <v>149</v>
      </c>
      <c r="AA182" s="0" t="n">
        <v>149</v>
      </c>
      <c r="AB182" s="0" t="n">
        <v>153</v>
      </c>
      <c r="AC182" s="0" t="s">
        <v>66</v>
      </c>
      <c r="AD182" s="0" t="n">
        <v>500000</v>
      </c>
      <c r="AE182" s="0" t="n">
        <v>481321.5</v>
      </c>
      <c r="AF182" s="0" t="n">
        <v>481321.5</v>
      </c>
      <c r="AG182" s="0" t="n">
        <v>0.015013</v>
      </c>
      <c r="AH182" s="4" t="b">
        <f aca="false">FALSE()</f>
        <v>0</v>
      </c>
      <c r="AJ182" s="4" t="b">
        <f aca="false">FALSE()</f>
        <v>0</v>
      </c>
      <c r="AK182" s="4" t="b">
        <f aca="false">FALSE()</f>
        <v>0</v>
      </c>
      <c r="AL182" s="0" t="s">
        <v>67</v>
      </c>
      <c r="AM182" s="0" t="n">
        <v>1.0675</v>
      </c>
      <c r="AN182" s="0" t="n">
        <v>-1.0527</v>
      </c>
      <c r="AO182" s="0" t="n">
        <v>2.1497</v>
      </c>
      <c r="AP182" s="0" t="n">
        <v>-2.0907</v>
      </c>
      <c r="AQ182" s="0" t="n">
        <v>4.3585</v>
      </c>
      <c r="AR182" s="0" t="n">
        <v>-4.1224</v>
      </c>
    </row>
    <row r="183" customFormat="false" ht="15" hidden="false" customHeight="false" outlineLevel="0" collapsed="false">
      <c r="A183" s="0" t="s">
        <v>832</v>
      </c>
      <c r="B183" s="0" t="s">
        <v>833</v>
      </c>
      <c r="C183" s="0" t="s">
        <v>790</v>
      </c>
      <c r="D183" s="0" t="s">
        <v>526</v>
      </c>
      <c r="E183" s="0" t="s">
        <v>768</v>
      </c>
      <c r="F183" s="0" t="s">
        <v>61</v>
      </c>
      <c r="G183" s="0" t="n">
        <v>100</v>
      </c>
      <c r="H183" s="0" t="n">
        <v>0.0973</v>
      </c>
      <c r="I183" s="0" t="n">
        <v>2</v>
      </c>
      <c r="J183" s="0" t="s">
        <v>62</v>
      </c>
      <c r="K183" s="0" t="s">
        <v>834</v>
      </c>
      <c r="L183" s="0" t="s">
        <v>835</v>
      </c>
      <c r="M183" s="0" t="s">
        <v>65</v>
      </c>
      <c r="N183" s="0" t="n">
        <v>0.9856</v>
      </c>
      <c r="O183" s="0" t="n">
        <v>2</v>
      </c>
      <c r="P183" s="0" t="n">
        <v>0.0874</v>
      </c>
      <c r="Q183" s="0" t="n">
        <v>100.4743</v>
      </c>
      <c r="R183" s="0" t="n">
        <v>0.33</v>
      </c>
      <c r="S183" s="0" t="n">
        <v>102.5451</v>
      </c>
      <c r="T183" s="0" t="n">
        <v>0.5</v>
      </c>
      <c r="U183" s="0" t="n">
        <v>0.4791</v>
      </c>
      <c r="V183" s="0" t="n">
        <v>0.459</v>
      </c>
      <c r="W183" s="0" t="n">
        <v>0.0048</v>
      </c>
      <c r="X183" s="0" t="n">
        <v>0.4791</v>
      </c>
      <c r="Y183" s="0" t="n">
        <v>0.459</v>
      </c>
      <c r="Z183" s="0" t="n">
        <v>150</v>
      </c>
      <c r="AA183" s="0" t="n">
        <v>150</v>
      </c>
      <c r="AB183" s="0" t="n">
        <v>145</v>
      </c>
      <c r="AC183" s="0" t="s">
        <v>173</v>
      </c>
      <c r="AD183" s="0" t="n">
        <v>20000</v>
      </c>
      <c r="AE183" s="0" t="n">
        <v>20094.86</v>
      </c>
      <c r="AF183" s="0" t="n">
        <v>20094.86</v>
      </c>
      <c r="AG183" s="0" t="n">
        <v>0.000627</v>
      </c>
      <c r="AH183" s="4" t="b">
        <f aca="false">FALSE()</f>
        <v>0</v>
      </c>
      <c r="AJ183" s="4" t="b">
        <f aca="false">FALSE()</f>
        <v>0</v>
      </c>
      <c r="AK183" s="4" t="b">
        <f aca="false">FALSE()</f>
        <v>0</v>
      </c>
      <c r="AL183" s="0" t="s">
        <v>67</v>
      </c>
      <c r="AM183" s="0" t="n">
        <v>0.2413</v>
      </c>
      <c r="AN183" s="0" t="n">
        <v>-0.2401</v>
      </c>
      <c r="AO183" s="0" t="n">
        <v>0.4837</v>
      </c>
      <c r="AP183" s="0" t="n">
        <v>-0.4791</v>
      </c>
      <c r="AQ183" s="0" t="n">
        <v>0.972</v>
      </c>
      <c r="AR183" s="0" t="n">
        <v>-0.9535</v>
      </c>
    </row>
    <row r="184" customFormat="false" ht="15" hidden="false" customHeight="false" outlineLevel="0" collapsed="false">
      <c r="A184" s="0" t="s">
        <v>836</v>
      </c>
      <c r="B184" s="0" t="s">
        <v>837</v>
      </c>
      <c r="C184" s="0" t="s">
        <v>753</v>
      </c>
      <c r="D184" s="0" t="s">
        <v>526</v>
      </c>
      <c r="E184" s="0" t="s">
        <v>741</v>
      </c>
      <c r="F184" s="0" t="s">
        <v>61</v>
      </c>
      <c r="G184" s="0" t="n">
        <v>100</v>
      </c>
      <c r="H184" s="0" t="n">
        <v>0.0965</v>
      </c>
      <c r="I184" s="0" t="n">
        <v>2</v>
      </c>
      <c r="J184" s="0" t="s">
        <v>62</v>
      </c>
      <c r="K184" s="0" t="s">
        <v>433</v>
      </c>
      <c r="L184" s="0" t="s">
        <v>838</v>
      </c>
      <c r="M184" s="0" t="s">
        <v>65</v>
      </c>
      <c r="N184" s="0" t="n">
        <v>3.5154</v>
      </c>
      <c r="O184" s="0" t="n">
        <v>6</v>
      </c>
      <c r="P184" s="0" t="n">
        <v>0.0988</v>
      </c>
      <c r="Q184" s="0" t="n">
        <v>99.3331</v>
      </c>
      <c r="R184" s="0" t="n">
        <v>1.1792</v>
      </c>
      <c r="S184" s="0" t="n">
        <v>100.4093</v>
      </c>
      <c r="T184" s="0" t="n">
        <v>3.0504</v>
      </c>
      <c r="U184" s="0" t="n">
        <v>2.9068</v>
      </c>
      <c r="V184" s="0" t="n">
        <v>10.5568</v>
      </c>
      <c r="W184" s="0" t="n">
        <v>0.0289</v>
      </c>
      <c r="X184" s="0" t="n">
        <v>2.9068</v>
      </c>
      <c r="Y184" s="0" t="n">
        <v>10.5568</v>
      </c>
      <c r="Z184" s="0" t="n">
        <v>63</v>
      </c>
      <c r="AA184" s="0" t="n">
        <v>63</v>
      </c>
      <c r="AB184" s="0" t="n">
        <v>73</v>
      </c>
      <c r="AC184" s="0" t="s">
        <v>230</v>
      </c>
      <c r="AD184" s="0" t="n">
        <v>200000</v>
      </c>
      <c r="AE184" s="0" t="n">
        <v>198666.2</v>
      </c>
      <c r="AF184" s="0" t="n">
        <v>198666.2</v>
      </c>
      <c r="AG184" s="0" t="n">
        <v>0.006197</v>
      </c>
      <c r="AH184" s="4" t="b">
        <f aca="false">FALSE()</f>
        <v>0</v>
      </c>
      <c r="AJ184" s="4" t="b">
        <f aca="false">FALSE()</f>
        <v>0</v>
      </c>
      <c r="AK184" s="4" t="b">
        <f aca="false">FALSE()</f>
        <v>0</v>
      </c>
      <c r="AL184" s="0" t="s">
        <v>67</v>
      </c>
      <c r="AM184" s="0" t="n">
        <v>1.4568</v>
      </c>
      <c r="AN184" s="0" t="n">
        <v>-1.4306</v>
      </c>
      <c r="AO184" s="0" t="n">
        <v>2.9398</v>
      </c>
      <c r="AP184" s="0" t="n">
        <v>-2.835</v>
      </c>
      <c r="AQ184" s="0" t="n">
        <v>5.9846</v>
      </c>
      <c r="AR184" s="0" t="n">
        <v>-5.5651</v>
      </c>
    </row>
    <row r="185" customFormat="false" ht="15" hidden="false" customHeight="false" outlineLevel="0" collapsed="false">
      <c r="A185" s="0" t="s">
        <v>839</v>
      </c>
      <c r="B185" s="0" t="s">
        <v>840</v>
      </c>
      <c r="C185" s="0" t="s">
        <v>841</v>
      </c>
      <c r="D185" s="0" t="s">
        <v>526</v>
      </c>
      <c r="E185" s="0" t="s">
        <v>768</v>
      </c>
      <c r="F185" s="0" t="s">
        <v>61</v>
      </c>
      <c r="G185" s="0" t="n">
        <v>100</v>
      </c>
      <c r="H185" s="0" t="n">
        <v>0.0971</v>
      </c>
      <c r="I185" s="0" t="n">
        <v>2</v>
      </c>
      <c r="J185" s="0" t="s">
        <v>62</v>
      </c>
      <c r="K185" s="0" t="s">
        <v>842</v>
      </c>
      <c r="L185" s="0" t="s">
        <v>843</v>
      </c>
      <c r="M185" s="0" t="s">
        <v>65</v>
      </c>
      <c r="N185" s="0" t="n">
        <v>5.1472</v>
      </c>
      <c r="O185" s="0" t="n">
        <v>7</v>
      </c>
      <c r="P185" s="0" t="n">
        <v>0.0881</v>
      </c>
      <c r="Q185" s="0" t="n">
        <v>103.5774</v>
      </c>
      <c r="R185" s="0" t="n">
        <v>2.0989</v>
      </c>
      <c r="S185" s="0" t="n">
        <v>105.9251</v>
      </c>
      <c r="T185" s="0" t="n">
        <v>4.0955</v>
      </c>
      <c r="U185" s="0" t="n">
        <v>3.9227</v>
      </c>
      <c r="V185" s="0" t="n">
        <v>19.2284</v>
      </c>
      <c r="W185" s="0" t="n">
        <v>0.0406</v>
      </c>
      <c r="X185" s="0" t="n">
        <v>3.9227</v>
      </c>
      <c r="Y185" s="0" t="n">
        <v>19.2284</v>
      </c>
      <c r="Z185" s="0" t="n">
        <v>112</v>
      </c>
      <c r="AA185" s="0" t="n">
        <v>112</v>
      </c>
      <c r="AB185" s="0" t="n">
        <v>107</v>
      </c>
      <c r="AC185" s="0" t="s">
        <v>77</v>
      </c>
      <c r="AD185" s="0" t="n">
        <v>200000</v>
      </c>
      <c r="AE185" s="0" t="n">
        <v>207154.8</v>
      </c>
      <c r="AF185" s="0" t="n">
        <v>207154.8</v>
      </c>
      <c r="AG185" s="0" t="n">
        <v>0.006462</v>
      </c>
      <c r="AH185" s="4" t="b">
        <f aca="false">FALSE()</f>
        <v>0</v>
      </c>
      <c r="AJ185" s="4" t="b">
        <f aca="false">FALSE()</f>
        <v>0</v>
      </c>
      <c r="AK185" s="4" t="b">
        <f aca="false">FALSE()</f>
        <v>0</v>
      </c>
      <c r="AL185" s="0" t="s">
        <v>67</v>
      </c>
      <c r="AM185" s="0" t="n">
        <v>2.0564</v>
      </c>
      <c r="AN185" s="0" t="n">
        <v>-2.0066</v>
      </c>
      <c r="AO185" s="0" t="n">
        <v>4.1626</v>
      </c>
      <c r="AP185" s="0" t="n">
        <v>-3.9634</v>
      </c>
      <c r="AQ185" s="0" t="n">
        <v>8.5244</v>
      </c>
      <c r="AR185" s="0" t="n">
        <v>-7.7277</v>
      </c>
    </row>
    <row r="186" customFormat="false" ht="15" hidden="false" customHeight="false" outlineLevel="0" collapsed="false">
      <c r="A186" s="0" t="s">
        <v>844</v>
      </c>
      <c r="B186" s="0" t="s">
        <v>845</v>
      </c>
      <c r="C186" s="0" t="s">
        <v>790</v>
      </c>
      <c r="D186" s="0" t="s">
        <v>526</v>
      </c>
      <c r="E186" s="0" t="s">
        <v>741</v>
      </c>
      <c r="F186" s="0" t="s">
        <v>61</v>
      </c>
      <c r="G186" s="0" t="n">
        <v>100</v>
      </c>
      <c r="H186" s="0" t="n">
        <v>0.097</v>
      </c>
      <c r="I186" s="0" t="n">
        <v>2</v>
      </c>
      <c r="J186" s="0" t="s">
        <v>62</v>
      </c>
      <c r="K186" s="0" t="s">
        <v>846</v>
      </c>
      <c r="L186" s="0" t="s">
        <v>847</v>
      </c>
      <c r="M186" s="0" t="s">
        <v>65</v>
      </c>
      <c r="N186" s="0" t="n">
        <v>3.4908</v>
      </c>
      <c r="O186" s="0" t="n">
        <v>5</v>
      </c>
      <c r="P186" s="0" t="n">
        <v>0.092</v>
      </c>
      <c r="Q186" s="0" t="n">
        <v>101.2853</v>
      </c>
      <c r="R186" s="0" t="n">
        <v>0.9631</v>
      </c>
      <c r="S186" s="0" t="n">
        <v>101.5334</v>
      </c>
      <c r="T186" s="0" t="n">
        <v>2.6761</v>
      </c>
      <c r="U186" s="0" t="n">
        <v>2.5584</v>
      </c>
      <c r="V186" s="0" t="n">
        <v>8.2256</v>
      </c>
      <c r="W186" s="0" t="n">
        <v>0.0259</v>
      </c>
      <c r="X186" s="0" t="n">
        <v>2.5584</v>
      </c>
      <c r="Y186" s="0" t="n">
        <v>8.2256</v>
      </c>
      <c r="Z186" s="0" t="n">
        <v>126</v>
      </c>
      <c r="AA186" s="0" t="n">
        <v>126</v>
      </c>
      <c r="AB186" s="0" t="n">
        <v>132</v>
      </c>
      <c r="AC186" s="0" t="s">
        <v>230</v>
      </c>
      <c r="AD186" s="0" t="n">
        <v>200000</v>
      </c>
      <c r="AE186" s="0" t="n">
        <v>202570.6</v>
      </c>
      <c r="AF186" s="0" t="n">
        <v>202570.6</v>
      </c>
      <c r="AG186" s="0" t="n">
        <v>0.006319</v>
      </c>
      <c r="AH186" s="4" t="b">
        <f aca="false">FALSE()</f>
        <v>0</v>
      </c>
      <c r="AJ186" s="4" t="b">
        <f aca="false">FALSE()</f>
        <v>0</v>
      </c>
      <c r="AK186" s="4" t="b">
        <f aca="false">FALSE()</f>
        <v>0</v>
      </c>
      <c r="AL186" s="0" t="s">
        <v>67</v>
      </c>
      <c r="AM186" s="0" t="n">
        <v>1.3061</v>
      </c>
      <c r="AN186" s="0" t="n">
        <v>-1.2852</v>
      </c>
      <c r="AO186" s="0" t="n">
        <v>2.6329</v>
      </c>
      <c r="AP186" s="0" t="n">
        <v>-2.5496</v>
      </c>
      <c r="AQ186" s="0" t="n">
        <v>5.3492</v>
      </c>
      <c r="AR186" s="0" t="n">
        <v>-5.0159</v>
      </c>
    </row>
    <row r="187" customFormat="false" ht="15" hidden="false" customHeight="false" outlineLevel="0" collapsed="false">
      <c r="A187" s="0" t="s">
        <v>848</v>
      </c>
      <c r="B187" s="0" t="s">
        <v>849</v>
      </c>
      <c r="C187" s="0" t="s">
        <v>799</v>
      </c>
      <c r="D187" s="0" t="s">
        <v>526</v>
      </c>
      <c r="E187" s="0" t="s">
        <v>768</v>
      </c>
      <c r="F187" s="0" t="s">
        <v>61</v>
      </c>
      <c r="G187" s="0" t="n">
        <v>100</v>
      </c>
      <c r="H187" s="0" t="n">
        <v>0.083</v>
      </c>
      <c r="I187" s="0" t="n">
        <v>2</v>
      </c>
      <c r="J187" s="0" t="s">
        <v>62</v>
      </c>
      <c r="K187" s="0" t="s">
        <v>850</v>
      </c>
      <c r="L187" s="0" t="s">
        <v>522</v>
      </c>
      <c r="M187" s="0" t="s">
        <v>65</v>
      </c>
      <c r="N187" s="0" t="n">
        <v>0.7009</v>
      </c>
      <c r="O187" s="0" t="n">
        <v>3</v>
      </c>
      <c r="P187" s="0" t="n">
        <v>0.0971</v>
      </c>
      <c r="Q187" s="0" t="n">
        <v>99.3276</v>
      </c>
      <c r="R187" s="0" t="n">
        <v>0.6631</v>
      </c>
      <c r="S187" s="0" t="n">
        <v>99.618</v>
      </c>
      <c r="T187" s="0" t="n">
        <v>0.5</v>
      </c>
      <c r="U187" s="0" t="n">
        <v>0.4768</v>
      </c>
      <c r="V187" s="0" t="n">
        <v>0.4548</v>
      </c>
      <c r="W187" s="0" t="n">
        <v>0.0047</v>
      </c>
      <c r="X187" s="0" t="n">
        <v>0.4768</v>
      </c>
      <c r="Y187" s="0" t="n">
        <v>0.4548</v>
      </c>
      <c r="Z187" s="0" t="n">
        <v>136</v>
      </c>
      <c r="AA187" s="0" t="n">
        <v>136</v>
      </c>
      <c r="AB187" s="0" t="n">
        <v>131</v>
      </c>
      <c r="AC187" s="0" t="s">
        <v>173</v>
      </c>
      <c r="AD187" s="0" t="n">
        <v>500000</v>
      </c>
      <c r="AE187" s="0" t="n">
        <v>496638</v>
      </c>
      <c r="AF187" s="0" t="n">
        <v>496638</v>
      </c>
      <c r="AG187" s="0" t="n">
        <v>0.015491</v>
      </c>
      <c r="AH187" s="4" t="b">
        <f aca="false">FALSE()</f>
        <v>0</v>
      </c>
      <c r="AJ187" s="4" t="b">
        <f aca="false">FALSE()</f>
        <v>0</v>
      </c>
      <c r="AK187" s="4" t="b">
        <f aca="false">FALSE()</f>
        <v>0</v>
      </c>
      <c r="AL187" s="0" t="s">
        <v>67</v>
      </c>
      <c r="AM187" s="0" t="n">
        <v>0.2374</v>
      </c>
      <c r="AN187" s="0" t="n">
        <v>-0.2362</v>
      </c>
      <c r="AO187" s="0" t="n">
        <v>0.4759</v>
      </c>
      <c r="AP187" s="0" t="n">
        <v>-0.4713</v>
      </c>
      <c r="AQ187" s="0" t="n">
        <v>0.9562</v>
      </c>
      <c r="AR187" s="0" t="n">
        <v>-0.9382</v>
      </c>
    </row>
    <row r="188" customFormat="false" ht="15" hidden="false" customHeight="false" outlineLevel="0" collapsed="false">
      <c r="A188" s="0" t="s">
        <v>851</v>
      </c>
      <c r="B188" s="0" t="s">
        <v>852</v>
      </c>
      <c r="C188" s="0" t="s">
        <v>790</v>
      </c>
      <c r="D188" s="0" t="s">
        <v>526</v>
      </c>
      <c r="E188" s="0" t="s">
        <v>768</v>
      </c>
      <c r="F188" s="0" t="s">
        <v>61</v>
      </c>
      <c r="G188" s="0" t="n">
        <v>100</v>
      </c>
      <c r="H188" s="0" t="n">
        <v>0.0937</v>
      </c>
      <c r="I188" s="0" t="n">
        <v>2</v>
      </c>
      <c r="J188" s="0" t="s">
        <v>62</v>
      </c>
      <c r="K188" s="0" t="s">
        <v>804</v>
      </c>
      <c r="L188" s="0" t="s">
        <v>853</v>
      </c>
      <c r="M188" s="0" t="s">
        <v>65</v>
      </c>
      <c r="N188" s="0" t="n">
        <v>1.7906</v>
      </c>
      <c r="O188" s="0" t="n">
        <v>7</v>
      </c>
      <c r="P188" s="0" t="n">
        <v>0.0986</v>
      </c>
      <c r="Q188" s="0" t="n">
        <v>99.3319</v>
      </c>
      <c r="R188" s="0" t="n">
        <v>1.9804</v>
      </c>
      <c r="S188" s="0" t="n">
        <v>101.3011</v>
      </c>
      <c r="T188" s="0" t="n">
        <v>1.4336</v>
      </c>
      <c r="U188" s="0" t="n">
        <v>1.3662</v>
      </c>
      <c r="V188" s="0" t="n">
        <v>2.5643</v>
      </c>
      <c r="W188" s="0" t="n">
        <v>0.0136</v>
      </c>
      <c r="X188" s="0" t="n">
        <v>1.3662</v>
      </c>
      <c r="Y188" s="0" t="n">
        <v>2.5643</v>
      </c>
      <c r="Z188" s="0" t="n">
        <v>105</v>
      </c>
      <c r="AA188" s="0" t="n">
        <v>105</v>
      </c>
      <c r="AB188" s="0" t="n">
        <v>105</v>
      </c>
      <c r="AC188" s="0" t="s">
        <v>91</v>
      </c>
      <c r="AD188" s="0" t="n">
        <v>200000</v>
      </c>
      <c r="AE188" s="0" t="n">
        <v>198663.8</v>
      </c>
      <c r="AF188" s="0" t="n">
        <v>198663.8</v>
      </c>
      <c r="AG188" s="0" t="n">
        <v>0.006197</v>
      </c>
      <c r="AH188" s="4" t="b">
        <f aca="false">FALSE()</f>
        <v>0</v>
      </c>
      <c r="AJ188" s="4" t="b">
        <f aca="false">FALSE()</f>
        <v>0</v>
      </c>
      <c r="AK188" s="4" t="b">
        <f aca="false">FALSE()</f>
        <v>0</v>
      </c>
      <c r="AL188" s="0" t="s">
        <v>67</v>
      </c>
      <c r="AM188" s="0" t="n">
        <v>0.6817</v>
      </c>
      <c r="AN188" s="0" t="n">
        <v>-0.6754</v>
      </c>
      <c r="AO188" s="0" t="n">
        <v>1.3698</v>
      </c>
      <c r="AP188" s="0" t="n">
        <v>-1.3443</v>
      </c>
      <c r="AQ188" s="0" t="n">
        <v>2.7651</v>
      </c>
      <c r="AR188" s="0" t="n">
        <v>-2.6632</v>
      </c>
    </row>
    <row r="189" customFormat="false" ht="15" hidden="false" customHeight="false" outlineLevel="0" collapsed="false">
      <c r="A189" s="0" t="s">
        <v>854</v>
      </c>
      <c r="B189" s="0" t="s">
        <v>855</v>
      </c>
      <c r="C189" s="0" t="s">
        <v>799</v>
      </c>
      <c r="D189" s="0" t="s">
        <v>526</v>
      </c>
      <c r="E189" s="0" t="s">
        <v>741</v>
      </c>
      <c r="F189" s="0" t="s">
        <v>61</v>
      </c>
      <c r="G189" s="0" t="n">
        <v>100</v>
      </c>
      <c r="H189" s="0" t="n">
        <v>0.0949</v>
      </c>
      <c r="I189" s="0" t="n">
        <v>2</v>
      </c>
      <c r="J189" s="0" t="s">
        <v>62</v>
      </c>
      <c r="K189" s="0" t="s">
        <v>856</v>
      </c>
      <c r="L189" s="0" t="s">
        <v>857</v>
      </c>
      <c r="M189" s="0" t="s">
        <v>65</v>
      </c>
      <c r="N189" s="0" t="n">
        <v>2.2396</v>
      </c>
      <c r="O189" s="0" t="n">
        <v>4</v>
      </c>
      <c r="P189" s="0" t="n">
        <v>0.0983</v>
      </c>
      <c r="Q189" s="0" t="n">
        <v>99.396</v>
      </c>
      <c r="R189" s="0" t="n">
        <v>1.1003</v>
      </c>
      <c r="S189" s="0" t="n">
        <v>99.6754</v>
      </c>
      <c r="T189" s="0" t="n">
        <v>1.8677</v>
      </c>
      <c r="U189" s="0" t="n">
        <v>1.7802</v>
      </c>
      <c r="V189" s="0" t="n">
        <v>4.1435</v>
      </c>
      <c r="W189" s="0" t="n">
        <v>0.0177</v>
      </c>
      <c r="X189" s="0" t="n">
        <v>1.7802</v>
      </c>
      <c r="Y189" s="0" t="n">
        <v>4.1435</v>
      </c>
      <c r="Z189" s="0" t="n">
        <v>93</v>
      </c>
      <c r="AA189" s="0" t="n">
        <v>93</v>
      </c>
      <c r="AB189" s="0" t="n">
        <v>89</v>
      </c>
      <c r="AC189" s="0" t="s">
        <v>66</v>
      </c>
      <c r="AD189" s="0" t="n">
        <v>20000</v>
      </c>
      <c r="AE189" s="0" t="n">
        <v>19879.2</v>
      </c>
      <c r="AF189" s="0" t="n">
        <v>19879.2</v>
      </c>
      <c r="AG189" s="0" t="n">
        <v>0.00062</v>
      </c>
      <c r="AH189" s="4" t="b">
        <f aca="false">FALSE()</f>
        <v>0</v>
      </c>
      <c r="AJ189" s="4" t="b">
        <f aca="false">FALSE()</f>
        <v>0</v>
      </c>
      <c r="AK189" s="4" t="b">
        <f aca="false">FALSE()</f>
        <v>0</v>
      </c>
      <c r="AL189" s="0" t="s">
        <v>67</v>
      </c>
      <c r="AM189" s="0" t="n">
        <v>0.8899</v>
      </c>
      <c r="AN189" s="0" t="n">
        <v>-0.8796</v>
      </c>
      <c r="AO189" s="0" t="n">
        <v>1.79</v>
      </c>
      <c r="AP189" s="0" t="n">
        <v>-1.7489</v>
      </c>
      <c r="AQ189" s="0" t="n">
        <v>3.6213</v>
      </c>
      <c r="AR189" s="0" t="n">
        <v>-3.4565</v>
      </c>
    </row>
    <row r="190" customFormat="false" ht="15" hidden="false" customHeight="false" outlineLevel="0" collapsed="false">
      <c r="A190" s="0" t="s">
        <v>858</v>
      </c>
      <c r="B190" s="0" t="s">
        <v>859</v>
      </c>
      <c r="C190" s="0" t="s">
        <v>747</v>
      </c>
      <c r="D190" s="0" t="s">
        <v>526</v>
      </c>
      <c r="E190" s="0" t="s">
        <v>768</v>
      </c>
      <c r="F190" s="0" t="s">
        <v>61</v>
      </c>
      <c r="G190" s="0" t="n">
        <v>100</v>
      </c>
      <c r="H190" s="0" t="n">
        <v>0.0998</v>
      </c>
      <c r="I190" s="0" t="n">
        <v>2</v>
      </c>
      <c r="J190" s="0" t="s">
        <v>62</v>
      </c>
      <c r="K190" s="0" t="s">
        <v>860</v>
      </c>
      <c r="L190" s="0" t="s">
        <v>861</v>
      </c>
      <c r="M190" s="0" t="s">
        <v>65</v>
      </c>
      <c r="N190" s="0" t="n">
        <v>2.2724</v>
      </c>
      <c r="O190" s="0" t="n">
        <v>4</v>
      </c>
      <c r="P190" s="0" t="n">
        <v>0.0935</v>
      </c>
      <c r="Q190" s="0" t="n">
        <v>101.1255</v>
      </c>
      <c r="R190" s="0" t="n">
        <v>1.7856</v>
      </c>
      <c r="S190" s="0" t="n">
        <v>103.069</v>
      </c>
      <c r="T190" s="0" t="n">
        <v>1.8627</v>
      </c>
      <c r="U190" s="0" t="n">
        <v>1.7795</v>
      </c>
      <c r="V190" s="0" t="n">
        <v>4.1474</v>
      </c>
      <c r="W190" s="0" t="n">
        <v>0.018</v>
      </c>
      <c r="X190" s="0" t="n">
        <v>1.7795</v>
      </c>
      <c r="Y190" s="0" t="n">
        <v>4.1474</v>
      </c>
      <c r="Z190" s="0" t="n">
        <v>78</v>
      </c>
      <c r="AA190" s="0" t="n">
        <v>78</v>
      </c>
      <c r="AB190" s="0" t="n">
        <v>88</v>
      </c>
      <c r="AC190" s="0" t="s">
        <v>66</v>
      </c>
      <c r="AD190" s="0" t="n">
        <v>50000</v>
      </c>
      <c r="AE190" s="0" t="n">
        <v>50562.75</v>
      </c>
      <c r="AF190" s="0" t="n">
        <v>50562.75</v>
      </c>
      <c r="AG190" s="0" t="n">
        <v>0.001577</v>
      </c>
      <c r="AH190" s="4" t="b">
        <f aca="false">FALSE()</f>
        <v>0</v>
      </c>
      <c r="AJ190" s="4" t="b">
        <f aca="false">FALSE()</f>
        <v>0</v>
      </c>
      <c r="AK190" s="4" t="b">
        <f aca="false">FALSE()</f>
        <v>0</v>
      </c>
      <c r="AL190" s="0" t="s">
        <v>67</v>
      </c>
      <c r="AM190" s="0" t="n">
        <v>0.905</v>
      </c>
      <c r="AN190" s="0" t="n">
        <v>-0.8945</v>
      </c>
      <c r="AO190" s="0" t="n">
        <v>1.8205</v>
      </c>
      <c r="AP190" s="0" t="n">
        <v>-1.7786</v>
      </c>
      <c r="AQ190" s="0" t="n">
        <v>3.6829</v>
      </c>
      <c r="AR190" s="0" t="n">
        <v>-3.5152</v>
      </c>
    </row>
    <row r="191" customFormat="false" ht="15" hidden="false" customHeight="false" outlineLevel="0" collapsed="false">
      <c r="A191" s="0" t="s">
        <v>862</v>
      </c>
      <c r="B191" s="0" t="s">
        <v>863</v>
      </c>
      <c r="C191" s="0" t="s">
        <v>841</v>
      </c>
      <c r="D191" s="0" t="s">
        <v>526</v>
      </c>
      <c r="E191" s="0" t="s">
        <v>748</v>
      </c>
      <c r="F191" s="0" t="s">
        <v>61</v>
      </c>
      <c r="G191" s="0" t="n">
        <v>100</v>
      </c>
      <c r="H191" s="0" t="n">
        <v>0.0898</v>
      </c>
      <c r="I191" s="0" t="n">
        <v>2</v>
      </c>
      <c r="J191" s="0" t="s">
        <v>62</v>
      </c>
      <c r="K191" s="0" t="s">
        <v>864</v>
      </c>
      <c r="L191" s="0" t="s">
        <v>865</v>
      </c>
      <c r="M191" s="0" t="s">
        <v>65</v>
      </c>
      <c r="N191" s="0" t="n">
        <v>1.3717</v>
      </c>
      <c r="O191" s="0" t="n">
        <v>2</v>
      </c>
      <c r="P191" s="0" t="n">
        <v>0.0915</v>
      </c>
      <c r="Q191" s="0" t="n">
        <v>99.841</v>
      </c>
      <c r="R191" s="0" t="n">
        <v>1.0718</v>
      </c>
      <c r="S191" s="0" t="n">
        <v>99.8515</v>
      </c>
      <c r="T191" s="0" t="n">
        <v>0.9785</v>
      </c>
      <c r="U191" s="0" t="n">
        <v>0.9357</v>
      </c>
      <c r="V191" s="0" t="n">
        <v>1.3323</v>
      </c>
      <c r="W191" s="0" t="n">
        <v>0.0093</v>
      </c>
      <c r="X191" s="0" t="n">
        <v>0.9357</v>
      </c>
      <c r="Y191" s="0" t="n">
        <v>1.3323</v>
      </c>
      <c r="Z191" s="0" t="n">
        <v>111</v>
      </c>
      <c r="AA191" s="0" t="n">
        <v>111</v>
      </c>
      <c r="AB191" s="0" t="n">
        <v>112</v>
      </c>
      <c r="AC191" s="0" t="s">
        <v>91</v>
      </c>
      <c r="AD191" s="0" t="n">
        <v>50000</v>
      </c>
      <c r="AE191" s="0" t="n">
        <v>49920.5</v>
      </c>
      <c r="AF191" s="0" t="n">
        <v>49920.5</v>
      </c>
      <c r="AG191" s="0" t="n">
        <v>0.001557</v>
      </c>
      <c r="AH191" s="4" t="b">
        <f aca="false">FALSE()</f>
        <v>0</v>
      </c>
      <c r="AJ191" s="4" t="b">
        <f aca="false">FALSE()</f>
        <v>0</v>
      </c>
      <c r="AK191" s="4" t="b">
        <f aca="false">FALSE()</f>
        <v>0</v>
      </c>
      <c r="AL191" s="0" t="s">
        <v>67</v>
      </c>
      <c r="AM191" s="0" t="n">
        <v>0.4688</v>
      </c>
      <c r="AN191" s="0" t="n">
        <v>-0.4654</v>
      </c>
      <c r="AO191" s="0" t="n">
        <v>0.9409</v>
      </c>
      <c r="AP191" s="0" t="n">
        <v>-0.9276</v>
      </c>
      <c r="AQ191" s="0" t="n">
        <v>1.895</v>
      </c>
      <c r="AR191" s="0" t="n">
        <v>-1.8418</v>
      </c>
    </row>
    <row r="192" customFormat="false" ht="15" hidden="false" customHeight="false" outlineLevel="0" collapsed="false">
      <c r="A192" s="0" t="s">
        <v>866</v>
      </c>
      <c r="B192" s="0" t="s">
        <v>867</v>
      </c>
      <c r="C192" s="0" t="s">
        <v>841</v>
      </c>
      <c r="D192" s="0" t="s">
        <v>526</v>
      </c>
      <c r="E192" s="0" t="s">
        <v>741</v>
      </c>
      <c r="F192" s="0" t="s">
        <v>61</v>
      </c>
      <c r="G192" s="0" t="n">
        <v>100</v>
      </c>
      <c r="H192" s="0" t="n">
        <v>0.0821</v>
      </c>
      <c r="I192" s="0" t="n">
        <v>2</v>
      </c>
      <c r="J192" s="0" t="s">
        <v>62</v>
      </c>
      <c r="K192" s="0" t="s">
        <v>868</v>
      </c>
      <c r="L192" s="0" t="s">
        <v>869</v>
      </c>
      <c r="M192" s="0" t="s">
        <v>65</v>
      </c>
      <c r="N192" s="0" t="n">
        <v>2.5572</v>
      </c>
      <c r="O192" s="0" t="n">
        <v>6</v>
      </c>
      <c r="P192" s="0" t="n">
        <v>0.0875</v>
      </c>
      <c r="Q192" s="0" t="n">
        <v>98.8106</v>
      </c>
      <c r="R192" s="0" t="n">
        <v>0.5969</v>
      </c>
      <c r="S192" s="0" t="n">
        <v>100.3045</v>
      </c>
      <c r="T192" s="0" t="n">
        <v>2.3092</v>
      </c>
      <c r="U192" s="0" t="n">
        <v>2.2124</v>
      </c>
      <c r="V192" s="0" t="n">
        <v>6.1874</v>
      </c>
      <c r="W192" s="0" t="n">
        <v>0.0219</v>
      </c>
      <c r="X192" s="0" t="n">
        <v>2.2124</v>
      </c>
      <c r="Y192" s="0" t="n">
        <v>6.1874</v>
      </c>
      <c r="Z192" s="0" t="n">
        <v>65</v>
      </c>
      <c r="AA192" s="0" t="n">
        <v>65</v>
      </c>
      <c r="AB192" s="0" t="n">
        <v>70</v>
      </c>
      <c r="AC192" s="0" t="s">
        <v>66</v>
      </c>
      <c r="AD192" s="0" t="n">
        <v>500000</v>
      </c>
      <c r="AE192" s="0" t="n">
        <v>494053</v>
      </c>
      <c r="AF192" s="0" t="n">
        <v>494053</v>
      </c>
      <c r="AG192" s="0" t="n">
        <v>0.015411</v>
      </c>
      <c r="AH192" s="4" t="b">
        <f aca="false">FALSE()</f>
        <v>0</v>
      </c>
      <c r="AJ192" s="4" t="b">
        <f aca="false">FALSE()</f>
        <v>0</v>
      </c>
      <c r="AK192" s="4" t="b">
        <f aca="false">FALSE()</f>
        <v>0</v>
      </c>
      <c r="AL192" s="0" t="s">
        <v>67</v>
      </c>
      <c r="AM192" s="0" t="n">
        <v>1.1007</v>
      </c>
      <c r="AN192" s="0" t="n">
        <v>-1.0854</v>
      </c>
      <c r="AO192" s="0" t="n">
        <v>2.2167</v>
      </c>
      <c r="AP192" s="0" t="n">
        <v>-2.1555</v>
      </c>
      <c r="AQ192" s="0" t="n">
        <v>4.4944</v>
      </c>
      <c r="AR192" s="0" t="n">
        <v>-4.2499</v>
      </c>
    </row>
    <row r="193" customFormat="false" ht="15" hidden="false" customHeight="false" outlineLevel="0" collapsed="false">
      <c r="A193" s="0" t="s">
        <v>870</v>
      </c>
      <c r="B193" s="0" t="s">
        <v>871</v>
      </c>
      <c r="C193" s="0" t="s">
        <v>810</v>
      </c>
      <c r="D193" s="0" t="s">
        <v>526</v>
      </c>
      <c r="E193" s="0" t="s">
        <v>748</v>
      </c>
      <c r="F193" s="0" t="s">
        <v>61</v>
      </c>
      <c r="G193" s="0" t="n">
        <v>100</v>
      </c>
      <c r="H193" s="0" t="n">
        <v>0.0945</v>
      </c>
      <c r="I193" s="0" t="n">
        <v>2</v>
      </c>
      <c r="J193" s="0" t="s">
        <v>62</v>
      </c>
      <c r="K193" s="0" t="s">
        <v>872</v>
      </c>
      <c r="L193" s="0" t="s">
        <v>873</v>
      </c>
      <c r="M193" s="0" t="s">
        <v>65</v>
      </c>
      <c r="N193" s="0" t="n">
        <v>2.078</v>
      </c>
      <c r="O193" s="0" t="n">
        <v>3</v>
      </c>
      <c r="P193" s="0" t="n">
        <v>0.0853</v>
      </c>
      <c r="Q193" s="0" t="n">
        <v>101.6594</v>
      </c>
      <c r="R193" s="0" t="n">
        <v>1.8714</v>
      </c>
      <c r="S193" s="0" t="n">
        <v>102.5458</v>
      </c>
      <c r="T193" s="0" t="n">
        <v>1.8699</v>
      </c>
      <c r="U193" s="0" t="n">
        <v>1.7934</v>
      </c>
      <c r="V193" s="0" t="n">
        <v>4.2017</v>
      </c>
      <c r="W193" s="0" t="n">
        <v>0.0182</v>
      </c>
      <c r="X193" s="0" t="n">
        <v>1.8186</v>
      </c>
      <c r="Y193" s="0" t="n">
        <v>4.0575</v>
      </c>
      <c r="Z193" s="0" t="n">
        <v>81</v>
      </c>
      <c r="AA193" s="0" t="n">
        <v>51</v>
      </c>
      <c r="AB193" s="0" t="n">
        <v>77</v>
      </c>
      <c r="AC193" s="0" t="s">
        <v>66</v>
      </c>
      <c r="AD193" s="0" t="n">
        <v>100000</v>
      </c>
      <c r="AE193" s="0" t="n">
        <v>101659.4</v>
      </c>
      <c r="AF193" s="0" t="n">
        <v>101659.4</v>
      </c>
      <c r="AG193" s="0" t="n">
        <v>0.003171</v>
      </c>
      <c r="AH193" s="4" t="b">
        <f aca="false">TRUE()</f>
        <v>1</v>
      </c>
      <c r="AI193" s="0" t="s">
        <v>874</v>
      </c>
      <c r="AJ193" s="4" t="b">
        <f aca="false">FALSE()</f>
        <v>0</v>
      </c>
      <c r="AK193" s="4" t="b">
        <f aca="false">FALSE()</f>
        <v>0</v>
      </c>
      <c r="AL193" s="0" t="s">
        <v>67</v>
      </c>
      <c r="AM193" s="0" t="n">
        <v>0.9169</v>
      </c>
      <c r="AN193" s="0" t="n">
        <v>-0.9062</v>
      </c>
      <c r="AO193" s="0" t="n">
        <v>1.8445</v>
      </c>
      <c r="AP193" s="0" t="n">
        <v>-1.8018</v>
      </c>
      <c r="AQ193" s="0" t="n">
        <v>3.7317</v>
      </c>
      <c r="AR193" s="0" t="n">
        <v>-3.5609</v>
      </c>
    </row>
    <row r="194" customFormat="false" ht="15" hidden="false" customHeight="false" outlineLevel="0" collapsed="false">
      <c r="A194" s="0" t="s">
        <v>875</v>
      </c>
      <c r="B194" s="0" t="s">
        <v>876</v>
      </c>
      <c r="C194" s="0" t="s">
        <v>740</v>
      </c>
      <c r="D194" s="0" t="s">
        <v>526</v>
      </c>
      <c r="E194" s="0" t="s">
        <v>748</v>
      </c>
      <c r="F194" s="0" t="s">
        <v>61</v>
      </c>
      <c r="G194" s="0" t="n">
        <v>100</v>
      </c>
      <c r="H194" s="0" t="n">
        <v>0.0895</v>
      </c>
      <c r="I194" s="0" t="n">
        <v>2</v>
      </c>
      <c r="J194" s="0" t="s">
        <v>62</v>
      </c>
      <c r="K194" s="0" t="s">
        <v>877</v>
      </c>
      <c r="L194" s="0" t="s">
        <v>878</v>
      </c>
      <c r="M194" s="0" t="s">
        <v>65</v>
      </c>
      <c r="N194" s="0" t="n">
        <v>2.089</v>
      </c>
      <c r="O194" s="0" t="n">
        <v>3</v>
      </c>
      <c r="P194" s="0" t="n">
        <v>0.0953</v>
      </c>
      <c r="Q194" s="0" t="n">
        <v>98.966</v>
      </c>
      <c r="R194" s="0" t="n">
        <v>0.2259</v>
      </c>
      <c r="S194" s="0" t="n">
        <v>100.1302</v>
      </c>
      <c r="T194" s="0" t="n">
        <v>1.8744</v>
      </c>
      <c r="U194" s="0" t="n">
        <v>1.7891</v>
      </c>
      <c r="V194" s="0" t="n">
        <v>4.1755</v>
      </c>
      <c r="W194" s="0" t="n">
        <v>0.0177</v>
      </c>
      <c r="X194" s="0" t="n">
        <v>1.7891</v>
      </c>
      <c r="Y194" s="0" t="n">
        <v>4.1755</v>
      </c>
      <c r="Z194" s="0" t="n">
        <v>98</v>
      </c>
      <c r="AA194" s="0" t="n">
        <v>98</v>
      </c>
      <c r="AB194" s="0" t="n">
        <v>97</v>
      </c>
      <c r="AC194" s="0" t="s">
        <v>66</v>
      </c>
      <c r="AD194" s="0" t="n">
        <v>5000</v>
      </c>
      <c r="AE194" s="0" t="n">
        <v>4948.3</v>
      </c>
      <c r="AF194" s="0" t="n">
        <v>4948.3</v>
      </c>
      <c r="AG194" s="0" t="n">
        <v>0.000154</v>
      </c>
      <c r="AH194" s="4" t="b">
        <f aca="false">FALSE()</f>
        <v>0</v>
      </c>
      <c r="AJ194" s="4" t="b">
        <f aca="false">FALSE()</f>
        <v>0</v>
      </c>
      <c r="AK194" s="4" t="b">
        <f aca="false">FALSE()</f>
        <v>0</v>
      </c>
      <c r="AL194" s="0" t="s">
        <v>67</v>
      </c>
      <c r="AM194" s="0" t="n">
        <v>0.8905</v>
      </c>
      <c r="AN194" s="0" t="n">
        <v>-0.8801</v>
      </c>
      <c r="AO194" s="0" t="n">
        <v>1.7913</v>
      </c>
      <c r="AP194" s="0" t="n">
        <v>-1.7499</v>
      </c>
      <c r="AQ194" s="0" t="n">
        <v>3.6238</v>
      </c>
      <c r="AR194" s="0" t="n">
        <v>-3.4586</v>
      </c>
    </row>
    <row r="195" customFormat="false" ht="15" hidden="false" customHeight="false" outlineLevel="0" collapsed="false">
      <c r="A195" s="0" t="s">
        <v>879</v>
      </c>
      <c r="B195" s="0" t="s">
        <v>880</v>
      </c>
      <c r="C195" s="0" t="s">
        <v>810</v>
      </c>
      <c r="D195" s="0" t="s">
        <v>526</v>
      </c>
      <c r="E195" s="0" t="s">
        <v>741</v>
      </c>
      <c r="F195" s="0" t="s">
        <v>61</v>
      </c>
      <c r="G195" s="0" t="n">
        <v>100</v>
      </c>
      <c r="H195" s="0" t="n">
        <v>0.0956</v>
      </c>
      <c r="I195" s="0" t="n">
        <v>2</v>
      </c>
      <c r="J195" s="0" t="s">
        <v>62</v>
      </c>
      <c r="K195" s="0" t="s">
        <v>881</v>
      </c>
      <c r="L195" s="0" t="s">
        <v>670</v>
      </c>
      <c r="M195" s="0" t="s">
        <v>65</v>
      </c>
      <c r="N195" s="0" t="n">
        <v>0.6352</v>
      </c>
      <c r="O195" s="0" t="n">
        <v>6</v>
      </c>
      <c r="P195" s="0" t="n">
        <v>0.0904</v>
      </c>
      <c r="Q195" s="0" t="n">
        <v>100.2488</v>
      </c>
      <c r="R195" s="0" t="n">
        <v>1.3101</v>
      </c>
      <c r="S195" s="0" t="n">
        <v>102.4246</v>
      </c>
      <c r="T195" s="0" t="n">
        <v>0.5</v>
      </c>
      <c r="U195" s="0" t="n">
        <v>0.4784</v>
      </c>
      <c r="V195" s="0" t="n">
        <v>0.4577</v>
      </c>
      <c r="W195" s="0" t="n">
        <v>0.0048</v>
      </c>
      <c r="X195" s="0" t="n">
        <v>0.4784</v>
      </c>
      <c r="Y195" s="0" t="n">
        <v>0.4577</v>
      </c>
      <c r="Z195" s="0" t="n">
        <v>97</v>
      </c>
      <c r="AA195" s="0" t="n">
        <v>97</v>
      </c>
      <c r="AB195" s="0" t="n">
        <v>107</v>
      </c>
      <c r="AC195" s="0" t="s">
        <v>173</v>
      </c>
      <c r="AD195" s="0" t="n">
        <v>50000</v>
      </c>
      <c r="AE195" s="0" t="n">
        <v>50124.4</v>
      </c>
      <c r="AF195" s="0" t="n">
        <v>50124.4</v>
      </c>
      <c r="AG195" s="0" t="n">
        <v>0.001563</v>
      </c>
      <c r="AH195" s="4" t="b">
        <f aca="false">FALSE()</f>
        <v>0</v>
      </c>
      <c r="AJ195" s="4" t="b">
        <f aca="false">FALSE()</f>
        <v>0</v>
      </c>
      <c r="AK195" s="4" t="b">
        <f aca="false">FALSE()</f>
        <v>0</v>
      </c>
      <c r="AL195" s="0" t="s">
        <v>67</v>
      </c>
      <c r="AM195" s="0" t="n">
        <v>0.2404</v>
      </c>
      <c r="AN195" s="0" t="n">
        <v>-0.2392</v>
      </c>
      <c r="AO195" s="0" t="n">
        <v>0.4819</v>
      </c>
      <c r="AP195" s="0" t="n">
        <v>-0.4773</v>
      </c>
      <c r="AQ195" s="0" t="n">
        <v>0.9684</v>
      </c>
      <c r="AR195" s="0" t="n">
        <v>-0.95</v>
      </c>
    </row>
    <row r="196" customFormat="false" ht="15" hidden="false" customHeight="false" outlineLevel="0" collapsed="false">
      <c r="A196" s="0" t="s">
        <v>882</v>
      </c>
      <c r="B196" s="0" t="s">
        <v>883</v>
      </c>
      <c r="C196" s="0" t="s">
        <v>841</v>
      </c>
      <c r="D196" s="0" t="s">
        <v>526</v>
      </c>
      <c r="E196" s="0" t="s">
        <v>741</v>
      </c>
      <c r="F196" s="0" t="s">
        <v>61</v>
      </c>
      <c r="G196" s="0" t="n">
        <v>100</v>
      </c>
      <c r="H196" s="0" t="n">
        <v>0.0945</v>
      </c>
      <c r="I196" s="0" t="n">
        <v>2</v>
      </c>
      <c r="J196" s="0" t="s">
        <v>62</v>
      </c>
      <c r="K196" s="0" t="s">
        <v>754</v>
      </c>
      <c r="L196" s="0" t="s">
        <v>884</v>
      </c>
      <c r="M196" s="0" t="s">
        <v>65</v>
      </c>
      <c r="N196" s="0" t="n">
        <v>0.5969</v>
      </c>
      <c r="O196" s="0" t="n">
        <v>2</v>
      </c>
      <c r="P196" s="0" t="n">
        <v>0.0947</v>
      </c>
      <c r="Q196" s="0" t="n">
        <v>99.9905</v>
      </c>
      <c r="R196" s="0" t="n">
        <v>0.1183</v>
      </c>
      <c r="S196" s="0" t="n">
        <v>101.9116</v>
      </c>
      <c r="T196" s="0" t="n">
        <v>0.5</v>
      </c>
      <c r="U196" s="0" t="n">
        <v>0.4774</v>
      </c>
      <c r="V196" s="0" t="n">
        <v>0.4558</v>
      </c>
      <c r="W196" s="0" t="n">
        <v>0.0048</v>
      </c>
      <c r="X196" s="0" t="n">
        <v>0.4774</v>
      </c>
      <c r="Y196" s="0" t="n">
        <v>0.4558</v>
      </c>
      <c r="Z196" s="0" t="n">
        <v>97</v>
      </c>
      <c r="AA196" s="0" t="n">
        <v>97</v>
      </c>
      <c r="AB196" s="0" t="n">
        <v>93</v>
      </c>
      <c r="AC196" s="0" t="s">
        <v>173</v>
      </c>
      <c r="AD196" s="0" t="n">
        <v>50000</v>
      </c>
      <c r="AE196" s="0" t="n">
        <v>49995.25</v>
      </c>
      <c r="AF196" s="0" t="n">
        <v>49995.25</v>
      </c>
      <c r="AG196" s="0" t="n">
        <v>0.001559</v>
      </c>
      <c r="AH196" s="4" t="b">
        <f aca="false">FALSE()</f>
        <v>0</v>
      </c>
      <c r="AJ196" s="4" t="b">
        <f aca="false">FALSE()</f>
        <v>0</v>
      </c>
      <c r="AK196" s="4" t="b">
        <f aca="false">FALSE()</f>
        <v>0</v>
      </c>
      <c r="AL196" s="0" t="s">
        <v>67</v>
      </c>
      <c r="AM196" s="0" t="n">
        <v>0.2392</v>
      </c>
      <c r="AN196" s="0" t="n">
        <v>-0.2381</v>
      </c>
      <c r="AO196" s="0" t="n">
        <v>0.4796</v>
      </c>
      <c r="AP196" s="0" t="n">
        <v>-0.4751</v>
      </c>
      <c r="AQ196" s="0" t="n">
        <v>0.9638</v>
      </c>
      <c r="AR196" s="0" t="n">
        <v>-0.9456</v>
      </c>
    </row>
    <row r="197" customFormat="false" ht="15" hidden="false" customHeight="false" outlineLevel="0" collapsed="false">
      <c r="A197" s="0" t="s">
        <v>885</v>
      </c>
      <c r="B197" s="0" t="s">
        <v>886</v>
      </c>
      <c r="C197" s="0" t="s">
        <v>799</v>
      </c>
      <c r="D197" s="0" t="s">
        <v>526</v>
      </c>
      <c r="E197" s="0" t="s">
        <v>768</v>
      </c>
      <c r="F197" s="0" t="s">
        <v>61</v>
      </c>
      <c r="G197" s="0" t="n">
        <v>100</v>
      </c>
      <c r="H197" s="0" t="n">
        <v>0.0979</v>
      </c>
      <c r="I197" s="0" t="n">
        <v>2</v>
      </c>
      <c r="J197" s="0" t="s">
        <v>62</v>
      </c>
      <c r="K197" s="0" t="s">
        <v>887</v>
      </c>
      <c r="L197" s="0" t="s">
        <v>888</v>
      </c>
      <c r="M197" s="0" t="s">
        <v>65</v>
      </c>
      <c r="N197" s="0" t="n">
        <v>4.1561</v>
      </c>
      <c r="O197" s="0" t="n">
        <v>6</v>
      </c>
      <c r="P197" s="0" t="n">
        <v>0.096</v>
      </c>
      <c r="Q197" s="0" t="n">
        <v>100.619</v>
      </c>
      <c r="R197" s="0" t="n">
        <v>0.9809</v>
      </c>
      <c r="S197" s="0" t="n">
        <v>102.9743</v>
      </c>
      <c r="T197" s="0" t="n">
        <v>3.4064</v>
      </c>
      <c r="U197" s="0" t="n">
        <v>3.2504</v>
      </c>
      <c r="V197" s="0" t="n">
        <v>13.1829</v>
      </c>
      <c r="W197" s="0" t="n">
        <v>0.0327</v>
      </c>
      <c r="X197" s="0" t="n">
        <v>3.2504</v>
      </c>
      <c r="Y197" s="0" t="n">
        <v>13.1829</v>
      </c>
      <c r="Z197" s="0" t="n">
        <v>103</v>
      </c>
      <c r="AA197" s="0" t="n">
        <v>103</v>
      </c>
      <c r="AB197" s="0" t="n">
        <v>106</v>
      </c>
      <c r="AC197" s="0" t="s">
        <v>230</v>
      </c>
      <c r="AD197" s="0" t="n">
        <v>20000</v>
      </c>
      <c r="AE197" s="0" t="n">
        <v>20123.8</v>
      </c>
      <c r="AF197" s="0" t="n">
        <v>20123.8</v>
      </c>
      <c r="AG197" s="0" t="n">
        <v>0.000628</v>
      </c>
      <c r="AH197" s="4" t="b">
        <f aca="false">FALSE()</f>
        <v>0</v>
      </c>
      <c r="AJ197" s="4" t="b">
        <f aca="false">FALSE()</f>
        <v>0</v>
      </c>
      <c r="AK197" s="4" t="b">
        <f aca="false">FALSE()</f>
        <v>0</v>
      </c>
      <c r="AL197" s="0" t="s">
        <v>67</v>
      </c>
      <c r="AM197" s="0" t="n">
        <v>1.6518</v>
      </c>
      <c r="AN197" s="0" t="n">
        <v>-1.6187</v>
      </c>
      <c r="AO197" s="0" t="n">
        <v>3.3368</v>
      </c>
      <c r="AP197" s="0" t="n">
        <v>-3.2042</v>
      </c>
      <c r="AQ197" s="0" t="n">
        <v>6.8063</v>
      </c>
      <c r="AR197" s="0" t="n">
        <v>-6.2757</v>
      </c>
    </row>
    <row r="198" customFormat="false" ht="15" hidden="false" customHeight="false" outlineLevel="0" collapsed="false">
      <c r="A198" s="0" t="s">
        <v>889</v>
      </c>
      <c r="B198" s="0" t="s">
        <v>890</v>
      </c>
      <c r="C198" s="0" t="s">
        <v>810</v>
      </c>
      <c r="D198" s="0" t="s">
        <v>526</v>
      </c>
      <c r="E198" s="0" t="s">
        <v>748</v>
      </c>
      <c r="F198" s="0" t="s">
        <v>61</v>
      </c>
      <c r="G198" s="0" t="n">
        <v>100</v>
      </c>
      <c r="H198" s="0" t="n">
        <v>0.0897</v>
      </c>
      <c r="I198" s="0" t="n">
        <v>2</v>
      </c>
      <c r="J198" s="0" t="s">
        <v>62</v>
      </c>
      <c r="K198" s="0" t="s">
        <v>891</v>
      </c>
      <c r="L198" s="0" t="s">
        <v>892</v>
      </c>
      <c r="M198" s="0" t="s">
        <v>65</v>
      </c>
      <c r="N198" s="0" t="n">
        <v>2.1081</v>
      </c>
      <c r="O198" s="0" t="n">
        <v>6</v>
      </c>
      <c r="P198" s="0" t="n">
        <v>0.0877</v>
      </c>
      <c r="Q198" s="0" t="n">
        <v>100.3597</v>
      </c>
      <c r="R198" s="0" t="n">
        <v>1.9343</v>
      </c>
      <c r="S198" s="0" t="n">
        <v>102.333</v>
      </c>
      <c r="T198" s="0" t="n">
        <v>1.8751</v>
      </c>
      <c r="U198" s="0" t="n">
        <v>1.7963</v>
      </c>
      <c r="V198" s="0" t="n">
        <v>4.2081</v>
      </c>
      <c r="W198" s="0" t="n">
        <v>0.018</v>
      </c>
      <c r="X198" s="0" t="n">
        <v>1.7963</v>
      </c>
      <c r="Y198" s="0" t="n">
        <v>4.2081</v>
      </c>
      <c r="Z198" s="0" t="n">
        <v>105</v>
      </c>
      <c r="AA198" s="0" t="n">
        <v>105</v>
      </c>
      <c r="AB198" s="0" t="n">
        <v>104</v>
      </c>
      <c r="AC198" s="0" t="s">
        <v>66</v>
      </c>
      <c r="AD198" s="0" t="n">
        <v>50000</v>
      </c>
      <c r="AE198" s="0" t="n">
        <v>50179.85</v>
      </c>
      <c r="AF198" s="0" t="n">
        <v>50179.85</v>
      </c>
      <c r="AG198" s="0" t="n">
        <v>0.001565</v>
      </c>
      <c r="AH198" s="4" t="b">
        <f aca="false">FALSE()</f>
        <v>0</v>
      </c>
      <c r="AJ198" s="4" t="b">
        <f aca="false">FALSE()</f>
        <v>0</v>
      </c>
      <c r="AK198" s="4" t="b">
        <f aca="false">FALSE()</f>
        <v>0</v>
      </c>
      <c r="AL198" s="0" t="s">
        <v>67</v>
      </c>
      <c r="AM198" s="0" t="n">
        <v>0.9067</v>
      </c>
      <c r="AN198" s="0" t="n">
        <v>-0.8961</v>
      </c>
      <c r="AO198" s="0" t="n">
        <v>1.8239</v>
      </c>
      <c r="AP198" s="0" t="n">
        <v>-1.7816</v>
      </c>
      <c r="AQ198" s="0" t="n">
        <v>3.69</v>
      </c>
      <c r="AR198" s="0" t="n">
        <v>-3.5211</v>
      </c>
    </row>
    <row r="199" customFormat="false" ht="15" hidden="false" customHeight="false" outlineLevel="0" collapsed="false">
      <c r="A199" s="0" t="s">
        <v>893</v>
      </c>
      <c r="B199" s="0" t="s">
        <v>894</v>
      </c>
      <c r="C199" s="0" t="s">
        <v>790</v>
      </c>
      <c r="D199" s="0" t="s">
        <v>526</v>
      </c>
      <c r="E199" s="0" t="s">
        <v>768</v>
      </c>
      <c r="F199" s="0" t="s">
        <v>61</v>
      </c>
      <c r="G199" s="0" t="n">
        <v>100</v>
      </c>
      <c r="H199" s="0" t="n">
        <v>0.0945</v>
      </c>
      <c r="I199" s="0" t="n">
        <v>2</v>
      </c>
      <c r="J199" s="0" t="s">
        <v>62</v>
      </c>
      <c r="K199" s="0" t="s">
        <v>895</v>
      </c>
      <c r="L199" s="0" t="s">
        <v>896</v>
      </c>
      <c r="M199" s="0" t="s">
        <v>65</v>
      </c>
      <c r="N199" s="0" t="n">
        <v>0.5448</v>
      </c>
      <c r="O199" s="0" t="n">
        <v>3</v>
      </c>
      <c r="P199" s="0" t="n">
        <v>0.095</v>
      </c>
      <c r="Q199" s="0" t="n">
        <v>99.9761</v>
      </c>
      <c r="R199" s="0" t="n">
        <v>1.6551</v>
      </c>
      <c r="S199" s="0" t="n">
        <v>100.2011</v>
      </c>
      <c r="T199" s="0" t="n">
        <v>0.5</v>
      </c>
      <c r="U199" s="0" t="n">
        <v>0.4773</v>
      </c>
      <c r="V199" s="0" t="n">
        <v>0.4557</v>
      </c>
      <c r="W199" s="0" t="n">
        <v>0.0048</v>
      </c>
      <c r="X199" s="0" t="n">
        <v>0.4773</v>
      </c>
      <c r="Y199" s="0" t="n">
        <v>0.4557</v>
      </c>
      <c r="Z199" s="0" t="n">
        <v>126</v>
      </c>
      <c r="AA199" s="0" t="n">
        <v>126</v>
      </c>
      <c r="AB199" s="0" t="n">
        <v>128</v>
      </c>
      <c r="AC199" s="0" t="s">
        <v>173</v>
      </c>
      <c r="AD199" s="0" t="n">
        <v>20000</v>
      </c>
      <c r="AE199" s="0" t="n">
        <v>19995.22</v>
      </c>
      <c r="AF199" s="0" t="n">
        <v>19995.22</v>
      </c>
      <c r="AG199" s="0" t="n">
        <v>0.000624</v>
      </c>
      <c r="AH199" s="4" t="b">
        <f aca="false">FALSE()</f>
        <v>0</v>
      </c>
      <c r="AJ199" s="4" t="b">
        <f aca="false">FALSE()</f>
        <v>0</v>
      </c>
      <c r="AK199" s="4" t="b">
        <f aca="false">FALSE()</f>
        <v>0</v>
      </c>
      <c r="AL199" s="0" t="s">
        <v>67</v>
      </c>
      <c r="AM199" s="0" t="n">
        <v>0.2392</v>
      </c>
      <c r="AN199" s="0" t="n">
        <v>-0.238</v>
      </c>
      <c r="AO199" s="0" t="n">
        <v>0.4795</v>
      </c>
      <c r="AP199" s="0" t="n">
        <v>-0.4749</v>
      </c>
      <c r="AQ199" s="0" t="n">
        <v>0.9635</v>
      </c>
      <c r="AR199" s="0" t="n">
        <v>-0.9453</v>
      </c>
    </row>
    <row r="200" customFormat="false" ht="15" hidden="false" customHeight="false" outlineLevel="0" collapsed="false">
      <c r="A200" s="0" t="s">
        <v>897</v>
      </c>
      <c r="B200" s="0" t="s">
        <v>898</v>
      </c>
      <c r="C200" s="0" t="s">
        <v>790</v>
      </c>
      <c r="D200" s="0" t="s">
        <v>526</v>
      </c>
      <c r="E200" s="0" t="s">
        <v>768</v>
      </c>
      <c r="F200" s="0" t="s">
        <v>61</v>
      </c>
      <c r="G200" s="0" t="n">
        <v>100</v>
      </c>
      <c r="H200" s="0" t="n">
        <v>0.0974</v>
      </c>
      <c r="I200" s="0" t="n">
        <v>2</v>
      </c>
      <c r="J200" s="0" t="s">
        <v>62</v>
      </c>
      <c r="K200" s="0" t="s">
        <v>899</v>
      </c>
      <c r="L200" s="0" t="s">
        <v>900</v>
      </c>
      <c r="M200" s="0" t="s">
        <v>65</v>
      </c>
      <c r="N200" s="0" t="n">
        <v>0.7502</v>
      </c>
      <c r="O200" s="0" t="n">
        <v>2</v>
      </c>
      <c r="P200" s="0" t="n">
        <v>0.0898</v>
      </c>
      <c r="Q200" s="0" t="n">
        <v>100.3637</v>
      </c>
      <c r="R200" s="0" t="n">
        <v>1.3405</v>
      </c>
      <c r="S200" s="0" t="n">
        <v>101.2857</v>
      </c>
      <c r="T200" s="0" t="n">
        <v>0.5</v>
      </c>
      <c r="U200" s="0" t="n">
        <v>0.4785</v>
      </c>
      <c r="V200" s="0" t="n">
        <v>0.458</v>
      </c>
      <c r="W200" s="0" t="n">
        <v>0.0048</v>
      </c>
      <c r="X200" s="0" t="n">
        <v>0.4937</v>
      </c>
      <c r="Y200" s="0" t="n">
        <v>0.3947</v>
      </c>
      <c r="Z200" s="0" t="n">
        <v>95</v>
      </c>
      <c r="AA200" s="0" t="n">
        <v>78</v>
      </c>
      <c r="AB200" s="0" t="n">
        <v>104</v>
      </c>
      <c r="AC200" s="0" t="s">
        <v>173</v>
      </c>
      <c r="AD200" s="0" t="n">
        <v>20000</v>
      </c>
      <c r="AE200" s="0" t="n">
        <v>20072.74</v>
      </c>
      <c r="AF200" s="0" t="n">
        <v>20072.74</v>
      </c>
      <c r="AG200" s="0" t="n">
        <v>0.000626</v>
      </c>
      <c r="AH200" s="4" t="b">
        <f aca="false">TRUE()</f>
        <v>1</v>
      </c>
      <c r="AI200" s="0" t="s">
        <v>901</v>
      </c>
      <c r="AJ200" s="4" t="b">
        <f aca="false">FALSE()</f>
        <v>0</v>
      </c>
      <c r="AK200" s="4" t="b">
        <f aca="false">FALSE()</f>
        <v>0</v>
      </c>
      <c r="AL200" s="0" t="s">
        <v>67</v>
      </c>
      <c r="AM200" s="0" t="n">
        <v>0.2407</v>
      </c>
      <c r="AN200" s="0" t="n">
        <v>-0.2395</v>
      </c>
      <c r="AO200" s="0" t="n">
        <v>0.4825</v>
      </c>
      <c r="AP200" s="0" t="n">
        <v>-0.4779</v>
      </c>
      <c r="AQ200" s="0" t="n">
        <v>0.9697</v>
      </c>
      <c r="AR200" s="0" t="n">
        <v>-0.9513</v>
      </c>
    </row>
    <row r="201" customFormat="false" ht="15" hidden="false" customHeight="false" outlineLevel="0" collapsed="false">
      <c r="A201" s="0" t="s">
        <v>902</v>
      </c>
      <c r="B201" s="0" t="s">
        <v>903</v>
      </c>
      <c r="C201" s="0" t="s">
        <v>790</v>
      </c>
      <c r="D201" s="0" t="s">
        <v>526</v>
      </c>
      <c r="E201" s="0" t="s">
        <v>741</v>
      </c>
      <c r="F201" s="0" t="s">
        <v>61</v>
      </c>
      <c r="G201" s="0" t="n">
        <v>100</v>
      </c>
      <c r="H201" s="0" t="n">
        <v>0.0911</v>
      </c>
      <c r="I201" s="0" t="n">
        <v>2</v>
      </c>
      <c r="J201" s="0" t="s">
        <v>62</v>
      </c>
      <c r="K201" s="0" t="s">
        <v>904</v>
      </c>
      <c r="L201" s="0" t="s">
        <v>905</v>
      </c>
      <c r="M201" s="0" t="s">
        <v>65</v>
      </c>
      <c r="N201" s="0" t="n">
        <v>0.6762</v>
      </c>
      <c r="O201" s="0" t="n">
        <v>2</v>
      </c>
      <c r="P201" s="0" t="n">
        <v>0.0969</v>
      </c>
      <c r="Q201" s="0" t="n">
        <v>99.7234</v>
      </c>
      <c r="R201" s="0" t="n">
        <v>1.1577</v>
      </c>
      <c r="S201" s="0" t="n">
        <v>100.1945</v>
      </c>
      <c r="T201" s="0" t="n">
        <v>0.5</v>
      </c>
      <c r="U201" s="0" t="n">
        <v>0.4769</v>
      </c>
      <c r="V201" s="0" t="n">
        <v>0.4549</v>
      </c>
      <c r="W201" s="0" t="n">
        <v>0.0048</v>
      </c>
      <c r="X201" s="0" t="n">
        <v>0.4769</v>
      </c>
      <c r="Y201" s="0" t="n">
        <v>0.4549</v>
      </c>
      <c r="Z201" s="0" t="n">
        <v>141</v>
      </c>
      <c r="AA201" s="0" t="n">
        <v>141</v>
      </c>
      <c r="AB201" s="0" t="n">
        <v>150</v>
      </c>
      <c r="AC201" s="0" t="s">
        <v>173</v>
      </c>
      <c r="AD201" s="0" t="n">
        <v>100000</v>
      </c>
      <c r="AE201" s="0" t="n">
        <v>99723.4</v>
      </c>
      <c r="AF201" s="0" t="n">
        <v>99723.4</v>
      </c>
      <c r="AG201" s="0" t="n">
        <v>0.003111</v>
      </c>
      <c r="AH201" s="4" t="b">
        <f aca="false">FALSE()</f>
        <v>0</v>
      </c>
      <c r="AJ201" s="4" t="b">
        <f aca="false">FALSE()</f>
        <v>0</v>
      </c>
      <c r="AK201" s="4" t="b">
        <f aca="false">FALSE()</f>
        <v>0</v>
      </c>
      <c r="AL201" s="0" t="s">
        <v>67</v>
      </c>
      <c r="AM201" s="0" t="n">
        <v>0.2384</v>
      </c>
      <c r="AN201" s="0" t="n">
        <v>-0.2372</v>
      </c>
      <c r="AO201" s="0" t="n">
        <v>0.4778</v>
      </c>
      <c r="AP201" s="0" t="n">
        <v>-0.4733</v>
      </c>
      <c r="AQ201" s="0" t="n">
        <v>0.9602</v>
      </c>
      <c r="AR201" s="0" t="n">
        <v>-0.9421</v>
      </c>
    </row>
    <row r="202" customFormat="false" ht="15" hidden="false" customHeight="false" outlineLevel="0" collapsed="false">
      <c r="A202" s="0" t="s">
        <v>906</v>
      </c>
      <c r="B202" s="0" t="s">
        <v>907</v>
      </c>
      <c r="C202" s="0" t="s">
        <v>908</v>
      </c>
      <c r="D202" s="0" t="s">
        <v>909</v>
      </c>
      <c r="E202" s="0" t="s">
        <v>910</v>
      </c>
      <c r="F202" s="0" t="s">
        <v>61</v>
      </c>
      <c r="G202" s="0" t="n">
        <v>100</v>
      </c>
      <c r="H202" s="0" t="n">
        <v>0.0929</v>
      </c>
      <c r="I202" s="0" t="n">
        <v>2</v>
      </c>
      <c r="J202" s="0" t="s">
        <v>62</v>
      </c>
      <c r="K202" s="0" t="s">
        <v>911</v>
      </c>
      <c r="L202" s="0" t="s">
        <v>816</v>
      </c>
      <c r="M202" s="0" t="s">
        <v>65</v>
      </c>
      <c r="N202" s="0" t="n">
        <v>2.4942</v>
      </c>
      <c r="O202" s="0" t="n">
        <v>3</v>
      </c>
      <c r="P202" s="0" t="n">
        <v>0.1039</v>
      </c>
      <c r="Q202" s="0" t="n">
        <v>98.0585</v>
      </c>
      <c r="R202" s="0" t="n">
        <v>0.8684</v>
      </c>
      <c r="S202" s="0" t="n">
        <v>98.3054</v>
      </c>
      <c r="T202" s="0" t="n">
        <v>1.8693</v>
      </c>
      <c r="U202" s="0" t="n">
        <v>1.777</v>
      </c>
      <c r="V202" s="0" t="n">
        <v>4.1263</v>
      </c>
      <c r="W202" s="0" t="n">
        <v>0.0174</v>
      </c>
      <c r="X202" s="0" t="n">
        <v>1.777</v>
      </c>
      <c r="Y202" s="0" t="n">
        <v>4.1263</v>
      </c>
      <c r="Z202" s="0" t="n">
        <v>194</v>
      </c>
      <c r="AA202" s="0" t="n">
        <v>194</v>
      </c>
      <c r="AB202" s="0" t="n">
        <v>194</v>
      </c>
      <c r="AC202" s="0" t="s">
        <v>66</v>
      </c>
      <c r="AD202" s="0" t="n">
        <v>200000</v>
      </c>
      <c r="AE202" s="0" t="n">
        <v>196117</v>
      </c>
      <c r="AF202" s="0" t="n">
        <v>196117</v>
      </c>
      <c r="AG202" s="0" t="n">
        <v>0.006117</v>
      </c>
      <c r="AH202" s="4" t="b">
        <f aca="false">FALSE()</f>
        <v>0</v>
      </c>
      <c r="AJ202" s="4" t="b">
        <f aca="false">FALSE()</f>
        <v>0</v>
      </c>
      <c r="AK202" s="4" t="b">
        <f aca="false">FALSE()</f>
        <v>0</v>
      </c>
      <c r="AL202" s="0" t="s">
        <v>67</v>
      </c>
      <c r="AM202" s="0" t="n">
        <v>0.8763</v>
      </c>
      <c r="AN202" s="0" t="n">
        <v>-0.8662</v>
      </c>
      <c r="AO202" s="0" t="n">
        <v>1.7627</v>
      </c>
      <c r="AP202" s="0" t="n">
        <v>-1.7223</v>
      </c>
      <c r="AQ202" s="0" t="n">
        <v>3.5659</v>
      </c>
      <c r="AR202" s="0" t="n">
        <v>-3.4041</v>
      </c>
    </row>
    <row r="203" customFormat="false" ht="15" hidden="false" customHeight="false" outlineLevel="0" collapsed="false">
      <c r="A203" s="0" t="s">
        <v>912</v>
      </c>
      <c r="B203" s="0" t="s">
        <v>913</v>
      </c>
      <c r="C203" s="0" t="s">
        <v>914</v>
      </c>
      <c r="D203" s="0" t="s">
        <v>536</v>
      </c>
      <c r="E203" s="0" t="s">
        <v>915</v>
      </c>
      <c r="F203" s="0" t="s">
        <v>61</v>
      </c>
      <c r="G203" s="0" t="n">
        <v>100</v>
      </c>
      <c r="H203" s="0" t="n">
        <v>0.1147</v>
      </c>
      <c r="I203" s="0" t="n">
        <v>2</v>
      </c>
      <c r="J203" s="0" t="s">
        <v>62</v>
      </c>
      <c r="K203" s="0" t="s">
        <v>916</v>
      </c>
      <c r="L203" s="0" t="s">
        <v>917</v>
      </c>
      <c r="M203" s="0" t="s">
        <v>65</v>
      </c>
      <c r="N203" s="0" t="n">
        <v>1.0678</v>
      </c>
      <c r="O203" s="0" t="n">
        <v>3</v>
      </c>
      <c r="P203" s="0" t="n">
        <v>0.0977</v>
      </c>
      <c r="Q203" s="0" t="n">
        <v>101.5831</v>
      </c>
      <c r="R203" s="0" t="n">
        <v>2.4014</v>
      </c>
      <c r="S203" s="0" t="n">
        <v>103.2715</v>
      </c>
      <c r="T203" s="0" t="n">
        <v>0.9731</v>
      </c>
      <c r="U203" s="0" t="n">
        <v>0.9278</v>
      </c>
      <c r="V203" s="0" t="n">
        <v>1.3146</v>
      </c>
      <c r="W203" s="0" t="n">
        <v>0.0094</v>
      </c>
      <c r="X203" s="0" t="n">
        <v>0.9278</v>
      </c>
      <c r="Y203" s="0" t="n">
        <v>1.3146</v>
      </c>
      <c r="Z203" s="0" t="n">
        <v>131</v>
      </c>
      <c r="AA203" s="0" t="n">
        <v>131</v>
      </c>
      <c r="AB203" s="0" t="n">
        <v>140</v>
      </c>
      <c r="AC203" s="0" t="s">
        <v>91</v>
      </c>
      <c r="AD203" s="0" t="n">
        <v>50000</v>
      </c>
      <c r="AE203" s="0" t="n">
        <v>50791.55</v>
      </c>
      <c r="AF203" s="0" t="n">
        <v>50791.55</v>
      </c>
      <c r="AG203" s="0" t="n">
        <v>0.001584</v>
      </c>
      <c r="AH203" s="4" t="b">
        <f aca="false">FALSE()</f>
        <v>0</v>
      </c>
      <c r="AJ203" s="4" t="b">
        <f aca="false">FALSE()</f>
        <v>0</v>
      </c>
      <c r="AK203" s="4" t="b">
        <f aca="false">FALSE()</f>
        <v>0</v>
      </c>
      <c r="AL203" s="0" t="s">
        <v>67</v>
      </c>
      <c r="AM203" s="0" t="n">
        <v>0.4729</v>
      </c>
      <c r="AN203" s="0" t="n">
        <v>-0.4696</v>
      </c>
      <c r="AO203" s="0" t="n">
        <v>0.9492</v>
      </c>
      <c r="AP203" s="0" t="n">
        <v>-0.9358</v>
      </c>
      <c r="AQ203" s="0" t="n">
        <v>1.9117</v>
      </c>
      <c r="AR203" s="0" t="n">
        <v>-1.8583</v>
      </c>
    </row>
    <row r="204" customFormat="false" ht="15" hidden="false" customHeight="false" outlineLevel="0" collapsed="false">
      <c r="A204" s="0" t="s">
        <v>918</v>
      </c>
      <c r="B204" s="0" t="s">
        <v>919</v>
      </c>
      <c r="C204" s="0" t="s">
        <v>914</v>
      </c>
      <c r="D204" s="0" t="s">
        <v>920</v>
      </c>
      <c r="E204" s="0" t="s">
        <v>915</v>
      </c>
      <c r="F204" s="0" t="s">
        <v>61</v>
      </c>
      <c r="G204" s="0" t="n">
        <v>100</v>
      </c>
      <c r="H204" s="0" t="n">
        <v>0.0952</v>
      </c>
      <c r="I204" s="0" t="n">
        <v>2</v>
      </c>
      <c r="J204" s="0" t="s">
        <v>62</v>
      </c>
      <c r="K204" s="0" t="s">
        <v>921</v>
      </c>
      <c r="L204" s="0" t="s">
        <v>922</v>
      </c>
      <c r="M204" s="0" t="s">
        <v>65</v>
      </c>
      <c r="N204" s="0" t="n">
        <v>2.2916</v>
      </c>
      <c r="O204" s="0" t="n">
        <v>3</v>
      </c>
      <c r="P204" s="0" t="n">
        <v>0.1114</v>
      </c>
      <c r="Q204" s="0" t="n">
        <v>97.1654</v>
      </c>
      <c r="R204" s="0" t="n">
        <v>0.9155</v>
      </c>
      <c r="S204" s="0" t="n">
        <v>99.4966</v>
      </c>
      <c r="T204" s="0" t="n">
        <v>1.8656</v>
      </c>
      <c r="U204" s="0" t="n">
        <v>1.7672</v>
      </c>
      <c r="V204" s="0" t="n">
        <v>4.0862</v>
      </c>
      <c r="W204" s="0" t="n">
        <v>0.0172</v>
      </c>
      <c r="X204" s="0" t="n">
        <v>1.7672</v>
      </c>
      <c r="Y204" s="0" t="n">
        <v>4.0862</v>
      </c>
      <c r="Z204" s="0" t="n">
        <v>202</v>
      </c>
      <c r="AA204" s="0" t="n">
        <v>202</v>
      </c>
      <c r="AB204" s="0" t="n">
        <v>204</v>
      </c>
      <c r="AC204" s="0" t="s">
        <v>66</v>
      </c>
      <c r="AD204" s="0" t="n">
        <v>100000</v>
      </c>
      <c r="AE204" s="0" t="n">
        <v>97165.4</v>
      </c>
      <c r="AF204" s="0" t="n">
        <v>97165.4</v>
      </c>
      <c r="AG204" s="0" t="n">
        <v>0.003031</v>
      </c>
      <c r="AH204" s="4" t="b">
        <f aca="false">FALSE()</f>
        <v>0</v>
      </c>
      <c r="AJ204" s="4" t="b">
        <f aca="false">FALSE()</f>
        <v>0</v>
      </c>
      <c r="AK204" s="4" t="b">
        <f aca="false">FALSE()</f>
        <v>0</v>
      </c>
      <c r="AL204" s="0" t="s">
        <v>67</v>
      </c>
      <c r="AM204" s="0" t="n">
        <v>0.8635</v>
      </c>
      <c r="AN204" s="0" t="n">
        <v>-0.8536</v>
      </c>
      <c r="AO204" s="0" t="n">
        <v>1.737</v>
      </c>
      <c r="AP204" s="0" t="n">
        <v>-1.6973</v>
      </c>
      <c r="AQ204" s="0" t="n">
        <v>3.5136</v>
      </c>
      <c r="AR204" s="0" t="n">
        <v>-3.3548</v>
      </c>
    </row>
    <row r="205" customFormat="false" ht="15" hidden="false" customHeight="false" outlineLevel="0" collapsed="false">
      <c r="A205" s="0" t="s">
        <v>923</v>
      </c>
      <c r="B205" s="0" t="s">
        <v>924</v>
      </c>
      <c r="C205" s="0" t="s">
        <v>908</v>
      </c>
      <c r="D205" s="0" t="s">
        <v>920</v>
      </c>
      <c r="E205" s="0" t="s">
        <v>910</v>
      </c>
      <c r="F205" s="0" t="s">
        <v>61</v>
      </c>
      <c r="G205" s="0" t="n">
        <v>100</v>
      </c>
      <c r="H205" s="0" t="n">
        <v>0.1114</v>
      </c>
      <c r="I205" s="0" t="n">
        <v>2</v>
      </c>
      <c r="J205" s="0" t="s">
        <v>62</v>
      </c>
      <c r="K205" s="0" t="s">
        <v>925</v>
      </c>
      <c r="L205" s="0" t="s">
        <v>926</v>
      </c>
      <c r="M205" s="0" t="s">
        <v>65</v>
      </c>
      <c r="N205" s="0" t="n">
        <v>2.0972</v>
      </c>
      <c r="O205" s="0" t="n">
        <v>3</v>
      </c>
      <c r="P205" s="0" t="n">
        <v>0.1106</v>
      </c>
      <c r="Q205" s="0" t="n">
        <v>100.1401</v>
      </c>
      <c r="R205" s="0" t="n">
        <v>0.3695</v>
      </c>
      <c r="S205" s="0" t="n">
        <v>102.1186</v>
      </c>
      <c r="T205" s="0" t="n">
        <v>1.8473</v>
      </c>
      <c r="U205" s="0" t="n">
        <v>1.7505</v>
      </c>
      <c r="V205" s="0" t="n">
        <v>4.0348</v>
      </c>
      <c r="W205" s="0" t="n">
        <v>0.0175</v>
      </c>
      <c r="X205" s="0" t="n">
        <v>1.7505</v>
      </c>
      <c r="Y205" s="0" t="n">
        <v>4.0348</v>
      </c>
      <c r="Z205" s="0" t="n">
        <v>208</v>
      </c>
      <c r="AA205" s="0" t="n">
        <v>208</v>
      </c>
      <c r="AB205" s="0" t="n">
        <v>208</v>
      </c>
      <c r="AC205" s="0" t="s">
        <v>66</v>
      </c>
      <c r="AD205" s="0" t="n">
        <v>20000</v>
      </c>
      <c r="AE205" s="0" t="n">
        <v>20028.02</v>
      </c>
      <c r="AF205" s="0" t="n">
        <v>20028.02</v>
      </c>
      <c r="AG205" s="0" t="n">
        <v>0.000625</v>
      </c>
      <c r="AH205" s="4" t="b">
        <f aca="false">FALSE()</f>
        <v>0</v>
      </c>
      <c r="AJ205" s="4" t="b">
        <f aca="false">FALSE()</f>
        <v>0</v>
      </c>
      <c r="AK205" s="4" t="b">
        <f aca="false">FALSE()</f>
        <v>0</v>
      </c>
      <c r="AL205" s="0" t="s">
        <v>67</v>
      </c>
      <c r="AM205" s="0" t="n">
        <v>0.8815</v>
      </c>
      <c r="AN205" s="0" t="n">
        <v>-0.8714</v>
      </c>
      <c r="AO205" s="0" t="n">
        <v>1.7732</v>
      </c>
      <c r="AP205" s="0" t="n">
        <v>-1.7328</v>
      </c>
      <c r="AQ205" s="0" t="n">
        <v>3.5867</v>
      </c>
      <c r="AR205" s="0" t="n">
        <v>-3.4251</v>
      </c>
    </row>
    <row r="206" customFormat="false" ht="15" hidden="false" customHeight="false" outlineLevel="0" collapsed="false">
      <c r="A206" s="0" t="s">
        <v>927</v>
      </c>
      <c r="B206" s="0" t="s">
        <v>928</v>
      </c>
      <c r="C206" s="0" t="s">
        <v>929</v>
      </c>
      <c r="D206" s="0" t="s">
        <v>536</v>
      </c>
      <c r="E206" s="0" t="s">
        <v>910</v>
      </c>
      <c r="F206" s="0" t="s">
        <v>61</v>
      </c>
      <c r="G206" s="0" t="n">
        <v>100</v>
      </c>
      <c r="H206" s="0" t="n">
        <v>0.1142</v>
      </c>
      <c r="I206" s="0" t="n">
        <v>2</v>
      </c>
      <c r="J206" s="0" t="s">
        <v>62</v>
      </c>
      <c r="K206" s="0" t="s">
        <v>930</v>
      </c>
      <c r="L206" s="0" t="s">
        <v>931</v>
      </c>
      <c r="M206" s="0" t="s">
        <v>65</v>
      </c>
      <c r="N206" s="0" t="n">
        <v>1.4757</v>
      </c>
      <c r="O206" s="0" t="n">
        <v>2</v>
      </c>
      <c r="P206" s="0" t="n">
        <v>0.0986</v>
      </c>
      <c r="Q206" s="0" t="n">
        <v>101.4518</v>
      </c>
      <c r="R206" s="0" t="n">
        <v>2.1418</v>
      </c>
      <c r="S206" s="0" t="n">
        <v>101.9113</v>
      </c>
      <c r="T206" s="0" t="n">
        <v>0.9732</v>
      </c>
      <c r="U206" s="0" t="n">
        <v>0.9275</v>
      </c>
      <c r="V206" s="0" t="n">
        <v>1.3136</v>
      </c>
      <c r="W206" s="0" t="n">
        <v>0.0094</v>
      </c>
      <c r="X206" s="0" t="n">
        <v>0.9275</v>
      </c>
      <c r="Y206" s="0" t="n">
        <v>1.3136</v>
      </c>
      <c r="Z206" s="0" t="n">
        <v>134</v>
      </c>
      <c r="AA206" s="0" t="n">
        <v>134</v>
      </c>
      <c r="AB206" s="0" t="n">
        <v>138</v>
      </c>
      <c r="AC206" s="0" t="s">
        <v>91</v>
      </c>
      <c r="AD206" s="0" t="n">
        <v>200000</v>
      </c>
      <c r="AE206" s="0" t="n">
        <v>202903.6</v>
      </c>
      <c r="AF206" s="0" t="n">
        <v>202903.6</v>
      </c>
      <c r="AG206" s="0" t="n">
        <v>0.006329</v>
      </c>
      <c r="AH206" s="4" t="b">
        <f aca="false">FALSE()</f>
        <v>0</v>
      </c>
      <c r="AJ206" s="4" t="b">
        <f aca="false">FALSE()</f>
        <v>0</v>
      </c>
      <c r="AK206" s="4" t="b">
        <f aca="false">FALSE()</f>
        <v>0</v>
      </c>
      <c r="AL206" s="0" t="s">
        <v>67</v>
      </c>
      <c r="AM206" s="0" t="n">
        <v>0.4721</v>
      </c>
      <c r="AN206" s="0" t="n">
        <v>-0.4688</v>
      </c>
      <c r="AO206" s="0" t="n">
        <v>0.9476</v>
      </c>
      <c r="AP206" s="0" t="n">
        <v>-0.9343</v>
      </c>
      <c r="AQ206" s="0" t="n">
        <v>1.9086</v>
      </c>
      <c r="AR206" s="0" t="n">
        <v>-1.8553</v>
      </c>
    </row>
    <row r="207" customFormat="false" ht="15" hidden="false" customHeight="false" outlineLevel="0" collapsed="false">
      <c r="A207" s="0" t="s">
        <v>932</v>
      </c>
      <c r="B207" s="0" t="s">
        <v>933</v>
      </c>
      <c r="C207" s="0" t="s">
        <v>908</v>
      </c>
      <c r="D207" s="0" t="s">
        <v>909</v>
      </c>
      <c r="E207" s="0" t="s">
        <v>915</v>
      </c>
      <c r="F207" s="0" t="s">
        <v>61</v>
      </c>
      <c r="G207" s="0" t="n">
        <v>100</v>
      </c>
      <c r="H207" s="0" t="n">
        <v>0.1123</v>
      </c>
      <c r="I207" s="0" t="n">
        <v>2</v>
      </c>
      <c r="J207" s="0" t="s">
        <v>62</v>
      </c>
      <c r="K207" s="0" t="s">
        <v>934</v>
      </c>
      <c r="L207" s="0" t="s">
        <v>935</v>
      </c>
      <c r="M207" s="0" t="s">
        <v>65</v>
      </c>
      <c r="N207" s="0" t="n">
        <v>3.5483</v>
      </c>
      <c r="O207" s="0" t="n">
        <v>5</v>
      </c>
      <c r="P207" s="0" t="n">
        <v>0.1146</v>
      </c>
      <c r="Q207" s="0" t="n">
        <v>99.3518</v>
      </c>
      <c r="R207" s="0" t="n">
        <v>0.1319</v>
      </c>
      <c r="S207" s="0" t="n">
        <v>100.4231</v>
      </c>
      <c r="T207" s="0" t="n">
        <v>2.9868</v>
      </c>
      <c r="U207" s="0" t="n">
        <v>2.8249</v>
      </c>
      <c r="V207" s="0" t="n">
        <v>10.1028</v>
      </c>
      <c r="W207" s="0" t="n">
        <v>0.0281</v>
      </c>
      <c r="X207" s="0" t="n">
        <v>2.8249</v>
      </c>
      <c r="Y207" s="0" t="n">
        <v>10.1028</v>
      </c>
      <c r="Z207" s="0" t="n">
        <v>193</v>
      </c>
      <c r="AA207" s="0" t="n">
        <v>193</v>
      </c>
      <c r="AB207" s="0" t="n">
        <v>201</v>
      </c>
      <c r="AC207" s="0" t="s">
        <v>230</v>
      </c>
      <c r="AD207" s="0" t="n">
        <v>500000</v>
      </c>
      <c r="AE207" s="0" t="n">
        <v>496759</v>
      </c>
      <c r="AF207" s="0" t="n">
        <v>496759</v>
      </c>
      <c r="AG207" s="0" t="n">
        <v>0.015495</v>
      </c>
      <c r="AH207" s="4" t="b">
        <f aca="false">FALSE()</f>
        <v>0</v>
      </c>
      <c r="AJ207" s="4" t="b">
        <f aca="false">FALSE()</f>
        <v>0</v>
      </c>
      <c r="AK207" s="4" t="b">
        <f aca="false">FALSE()</f>
        <v>0</v>
      </c>
      <c r="AL207" s="0" t="s">
        <v>67</v>
      </c>
      <c r="AM207" s="0" t="n">
        <v>1.4158</v>
      </c>
      <c r="AN207" s="0" t="n">
        <v>-1.3907</v>
      </c>
      <c r="AO207" s="0" t="n">
        <v>2.8568</v>
      </c>
      <c r="AP207" s="0" t="n">
        <v>-2.7564</v>
      </c>
      <c r="AQ207" s="0" t="n">
        <v>5.8139</v>
      </c>
      <c r="AR207" s="0" t="n">
        <v>-5.4124</v>
      </c>
    </row>
    <row r="208" customFormat="false" ht="15" hidden="false" customHeight="false" outlineLevel="0" collapsed="false">
      <c r="A208" s="0" t="s">
        <v>936</v>
      </c>
      <c r="B208" s="0" t="s">
        <v>937</v>
      </c>
      <c r="C208" s="0" t="s">
        <v>908</v>
      </c>
      <c r="D208" s="0" t="s">
        <v>909</v>
      </c>
      <c r="E208" s="0" t="s">
        <v>915</v>
      </c>
      <c r="F208" s="0" t="s">
        <v>61</v>
      </c>
      <c r="G208" s="0" t="n">
        <v>100</v>
      </c>
      <c r="H208" s="0" t="n">
        <v>0.1133</v>
      </c>
      <c r="I208" s="0" t="n">
        <v>2</v>
      </c>
      <c r="J208" s="0" t="s">
        <v>62</v>
      </c>
      <c r="K208" s="0" t="s">
        <v>938</v>
      </c>
      <c r="L208" s="0" t="s">
        <v>939</v>
      </c>
      <c r="M208" s="0" t="s">
        <v>65</v>
      </c>
      <c r="N208" s="0" t="n">
        <v>1.911</v>
      </c>
      <c r="O208" s="0" t="n">
        <v>3</v>
      </c>
      <c r="P208" s="0" t="n">
        <v>0.0994</v>
      </c>
      <c r="Q208" s="0" t="n">
        <v>101.8937</v>
      </c>
      <c r="R208" s="0" t="n">
        <v>0.4923</v>
      </c>
      <c r="S208" s="0" t="n">
        <v>103.3492</v>
      </c>
      <c r="T208" s="0" t="n">
        <v>1.4218</v>
      </c>
      <c r="U208" s="0" t="n">
        <v>1.3545</v>
      </c>
      <c r="V208" s="0" t="n">
        <v>2.5338</v>
      </c>
      <c r="W208" s="0" t="n">
        <v>0.0138</v>
      </c>
      <c r="X208" s="0" t="n">
        <v>1.3545</v>
      </c>
      <c r="Y208" s="0" t="n">
        <v>2.5338</v>
      </c>
      <c r="Z208" s="0" t="n">
        <v>139</v>
      </c>
      <c r="AA208" s="0" t="n">
        <v>139</v>
      </c>
      <c r="AB208" s="0" t="n">
        <v>146</v>
      </c>
      <c r="AC208" s="0" t="s">
        <v>91</v>
      </c>
      <c r="AD208" s="0" t="n">
        <v>200000</v>
      </c>
      <c r="AE208" s="0" t="n">
        <v>203787.4</v>
      </c>
      <c r="AF208" s="0" t="n">
        <v>203787.4</v>
      </c>
      <c r="AG208" s="0" t="n">
        <v>0.006357</v>
      </c>
      <c r="AH208" s="4" t="b">
        <f aca="false">FALSE()</f>
        <v>0</v>
      </c>
      <c r="AJ208" s="4" t="b">
        <f aca="false">FALSE()</f>
        <v>0</v>
      </c>
      <c r="AK208" s="4" t="b">
        <f aca="false">FALSE()</f>
        <v>0</v>
      </c>
      <c r="AL208" s="0" t="s">
        <v>67</v>
      </c>
      <c r="AM208" s="0" t="n">
        <v>0.6933</v>
      </c>
      <c r="AN208" s="0" t="n">
        <v>-0.6868</v>
      </c>
      <c r="AO208" s="0" t="n">
        <v>1.3931</v>
      </c>
      <c r="AP208" s="0" t="n">
        <v>-1.3672</v>
      </c>
      <c r="AQ208" s="0" t="n">
        <v>2.8119</v>
      </c>
      <c r="AR208" s="0" t="n">
        <v>-2.7087</v>
      </c>
    </row>
    <row r="209" customFormat="false" ht="15" hidden="false" customHeight="false" outlineLevel="0" collapsed="false">
      <c r="A209" s="0" t="s">
        <v>940</v>
      </c>
      <c r="B209" s="0" t="s">
        <v>941</v>
      </c>
      <c r="C209" s="0" t="s">
        <v>942</v>
      </c>
      <c r="D209" s="0" t="s">
        <v>920</v>
      </c>
      <c r="E209" s="0" t="s">
        <v>910</v>
      </c>
      <c r="F209" s="0" t="s">
        <v>61</v>
      </c>
      <c r="G209" s="0" t="n">
        <v>100</v>
      </c>
      <c r="H209" s="0" t="n">
        <v>0.0912</v>
      </c>
      <c r="I209" s="0" t="n">
        <v>2</v>
      </c>
      <c r="J209" s="0" t="s">
        <v>62</v>
      </c>
      <c r="K209" s="0" t="s">
        <v>943</v>
      </c>
      <c r="L209" s="0" t="s">
        <v>944</v>
      </c>
      <c r="M209" s="0" t="s">
        <v>65</v>
      </c>
      <c r="N209" s="0" t="n">
        <v>1.7084</v>
      </c>
      <c r="O209" s="0" t="n">
        <v>4</v>
      </c>
      <c r="P209" s="0" t="n">
        <v>0.1143</v>
      </c>
      <c r="Q209" s="0" t="n">
        <v>96.8963</v>
      </c>
      <c r="R209" s="0" t="n">
        <v>1.3057</v>
      </c>
      <c r="S209" s="0" t="n">
        <v>97.7127</v>
      </c>
      <c r="T209" s="0" t="n">
        <v>1.4344</v>
      </c>
      <c r="U209" s="0" t="n">
        <v>1.3569</v>
      </c>
      <c r="V209" s="0" t="n">
        <v>2.5283</v>
      </c>
      <c r="W209" s="0" t="n">
        <v>0.0131</v>
      </c>
      <c r="X209" s="0" t="n">
        <v>1.3569</v>
      </c>
      <c r="Y209" s="0" t="n">
        <v>2.5283</v>
      </c>
      <c r="Z209" s="0" t="n">
        <v>197</v>
      </c>
      <c r="AA209" s="0" t="n">
        <v>197</v>
      </c>
      <c r="AB209" s="0" t="n">
        <v>202</v>
      </c>
      <c r="AC209" s="0" t="s">
        <v>91</v>
      </c>
      <c r="AD209" s="0" t="n">
        <v>200000</v>
      </c>
      <c r="AE209" s="0" t="n">
        <v>193792.6</v>
      </c>
      <c r="AF209" s="0" t="n">
        <v>193792.6</v>
      </c>
      <c r="AG209" s="0" t="n">
        <v>0.006045</v>
      </c>
      <c r="AH209" s="4" t="b">
        <f aca="false">FALSE()</f>
        <v>0</v>
      </c>
      <c r="AJ209" s="4" t="b">
        <f aca="false">FALSE()</f>
        <v>0</v>
      </c>
      <c r="AK209" s="4" t="b">
        <f aca="false">FALSE()</f>
        <v>0</v>
      </c>
      <c r="AL209" s="0" t="s">
        <v>67</v>
      </c>
      <c r="AM209" s="0" t="n">
        <v>0.6605</v>
      </c>
      <c r="AN209" s="0" t="n">
        <v>-0.6543</v>
      </c>
      <c r="AO209" s="0" t="n">
        <v>1.327</v>
      </c>
      <c r="AP209" s="0" t="n">
        <v>-1.3025</v>
      </c>
      <c r="AQ209" s="0" t="n">
        <v>2.6786</v>
      </c>
      <c r="AR209" s="0" t="n">
        <v>-2.5806</v>
      </c>
    </row>
    <row r="210" customFormat="false" ht="15" hidden="false" customHeight="false" outlineLevel="0" collapsed="false">
      <c r="A210" s="0" t="s">
        <v>945</v>
      </c>
      <c r="B210" s="0" t="s">
        <v>946</v>
      </c>
      <c r="C210" s="0" t="s">
        <v>929</v>
      </c>
      <c r="D210" s="0" t="s">
        <v>909</v>
      </c>
      <c r="E210" s="0" t="s">
        <v>915</v>
      </c>
      <c r="F210" s="0" t="s">
        <v>61</v>
      </c>
      <c r="G210" s="0" t="n">
        <v>100</v>
      </c>
      <c r="H210" s="0" t="n">
        <v>0.0966</v>
      </c>
      <c r="I210" s="0" t="n">
        <v>2</v>
      </c>
      <c r="J210" s="0" t="s">
        <v>62</v>
      </c>
      <c r="K210" s="0" t="s">
        <v>947</v>
      </c>
      <c r="L210" s="0" t="s">
        <v>948</v>
      </c>
      <c r="M210" s="0" t="s">
        <v>65</v>
      </c>
      <c r="N210" s="0" t="n">
        <v>1.1745</v>
      </c>
      <c r="O210" s="0" t="n">
        <v>3</v>
      </c>
      <c r="P210" s="0" t="n">
        <v>0.1033</v>
      </c>
      <c r="Q210" s="0" t="n">
        <v>99.3786</v>
      </c>
      <c r="R210" s="0" t="n">
        <v>1.4931</v>
      </c>
      <c r="S210" s="0" t="n">
        <v>100.5254</v>
      </c>
      <c r="T210" s="0" t="n">
        <v>0.9769</v>
      </c>
      <c r="U210" s="0" t="n">
        <v>0.9289</v>
      </c>
      <c r="V210" s="0" t="n">
        <v>1.3145</v>
      </c>
      <c r="W210" s="0" t="n">
        <v>0.0092</v>
      </c>
      <c r="X210" s="0" t="n">
        <v>0.9289</v>
      </c>
      <c r="Y210" s="0" t="n">
        <v>1.3145</v>
      </c>
      <c r="Z210" s="0" t="n">
        <v>175</v>
      </c>
      <c r="AA210" s="0" t="n">
        <v>175</v>
      </c>
      <c r="AB210" s="0" t="n">
        <v>170</v>
      </c>
      <c r="AC210" s="0" t="s">
        <v>91</v>
      </c>
      <c r="AD210" s="0" t="n">
        <v>20000</v>
      </c>
      <c r="AE210" s="0" t="n">
        <v>19875.72</v>
      </c>
      <c r="AF210" s="0" t="n">
        <v>19875.72</v>
      </c>
      <c r="AG210" s="0" t="n">
        <v>0.00062</v>
      </c>
      <c r="AH210" s="4" t="b">
        <f aca="false">FALSE()</f>
        <v>0</v>
      </c>
      <c r="AJ210" s="4" t="b">
        <f aca="false">FALSE()</f>
        <v>0</v>
      </c>
      <c r="AK210" s="4" t="b">
        <f aca="false">FALSE()</f>
        <v>0</v>
      </c>
      <c r="AL210" s="0" t="s">
        <v>67</v>
      </c>
      <c r="AM210" s="0" t="n">
        <v>0.4632</v>
      </c>
      <c r="AN210" s="0" t="n">
        <v>-0.4599</v>
      </c>
      <c r="AO210" s="0" t="n">
        <v>0.9297</v>
      </c>
      <c r="AP210" s="0" t="n">
        <v>-0.9166</v>
      </c>
      <c r="AQ210" s="0" t="n">
        <v>1.8724</v>
      </c>
      <c r="AR210" s="0" t="n">
        <v>-1.8201</v>
      </c>
    </row>
    <row r="211" customFormat="false" ht="15" hidden="false" customHeight="false" outlineLevel="0" collapsed="false">
      <c r="A211" s="0" t="s">
        <v>949</v>
      </c>
      <c r="B211" s="0" t="s">
        <v>950</v>
      </c>
      <c r="C211" s="0" t="s">
        <v>942</v>
      </c>
      <c r="D211" s="0" t="s">
        <v>920</v>
      </c>
      <c r="E211" s="0" t="s">
        <v>910</v>
      </c>
      <c r="F211" s="0" t="s">
        <v>61</v>
      </c>
      <c r="G211" s="0" t="n">
        <v>100</v>
      </c>
      <c r="H211" s="0" t="n">
        <v>0.1062</v>
      </c>
      <c r="I211" s="0" t="n">
        <v>2</v>
      </c>
      <c r="J211" s="0" t="s">
        <v>62</v>
      </c>
      <c r="K211" s="0" t="s">
        <v>951</v>
      </c>
      <c r="L211" s="0" t="s">
        <v>952</v>
      </c>
      <c r="M211" s="0" t="s">
        <v>65</v>
      </c>
      <c r="N211" s="0" t="n">
        <v>3.4251</v>
      </c>
      <c r="O211" s="0" t="n">
        <v>4</v>
      </c>
      <c r="P211" s="0" t="n">
        <v>0.1079</v>
      </c>
      <c r="Q211" s="0" t="n">
        <v>99.574</v>
      </c>
      <c r="R211" s="0" t="n">
        <v>1.3507</v>
      </c>
      <c r="S211" s="0" t="n">
        <v>100.8665</v>
      </c>
      <c r="T211" s="0" t="n">
        <v>2.6454</v>
      </c>
      <c r="U211" s="0" t="n">
        <v>2.51</v>
      </c>
      <c r="V211" s="0" t="n">
        <v>7.9758</v>
      </c>
      <c r="W211" s="0" t="n">
        <v>0.025</v>
      </c>
      <c r="X211" s="0" t="n">
        <v>2.51</v>
      </c>
      <c r="Y211" s="0" t="n">
        <v>7.9758</v>
      </c>
      <c r="Z211" s="0" t="n">
        <v>215</v>
      </c>
      <c r="AA211" s="0" t="n">
        <v>215</v>
      </c>
      <c r="AB211" s="0" t="n">
        <v>219</v>
      </c>
      <c r="AC211" s="0" t="s">
        <v>230</v>
      </c>
      <c r="AD211" s="0" t="n">
        <v>500000</v>
      </c>
      <c r="AE211" s="0" t="n">
        <v>497870</v>
      </c>
      <c r="AF211" s="0" t="n">
        <v>497870</v>
      </c>
      <c r="AG211" s="0" t="n">
        <v>0.01553</v>
      </c>
      <c r="AH211" s="4" t="b">
        <f aca="false">FALSE()</f>
        <v>0</v>
      </c>
      <c r="AJ211" s="4" t="b">
        <f aca="false">FALSE()</f>
        <v>0</v>
      </c>
      <c r="AK211" s="4" t="b">
        <f aca="false">FALSE()</f>
        <v>0</v>
      </c>
      <c r="AL211" s="0" t="s">
        <v>67</v>
      </c>
      <c r="AM211" s="0" t="n">
        <v>1.2596</v>
      </c>
      <c r="AN211" s="0" t="n">
        <v>-1.2397</v>
      </c>
      <c r="AO211" s="0" t="n">
        <v>2.539</v>
      </c>
      <c r="AP211" s="0" t="n">
        <v>-2.4596</v>
      </c>
      <c r="AQ211" s="0" t="n">
        <v>5.1575</v>
      </c>
      <c r="AR211" s="0" t="n">
        <v>-4.8398</v>
      </c>
    </row>
    <row r="212" customFormat="false" ht="15" hidden="false" customHeight="false" outlineLevel="0" collapsed="false">
      <c r="A212" s="0" t="s">
        <v>953</v>
      </c>
      <c r="B212" s="0" t="s">
        <v>954</v>
      </c>
      <c r="C212" s="0" t="s">
        <v>955</v>
      </c>
      <c r="D212" s="0" t="s">
        <v>536</v>
      </c>
      <c r="E212" s="0" t="s">
        <v>910</v>
      </c>
      <c r="F212" s="0" t="s">
        <v>61</v>
      </c>
      <c r="G212" s="0" t="n">
        <v>100</v>
      </c>
      <c r="H212" s="0" t="n">
        <v>0.1151</v>
      </c>
      <c r="I212" s="0" t="n">
        <v>2</v>
      </c>
      <c r="J212" s="0" t="s">
        <v>62</v>
      </c>
      <c r="K212" s="0" t="s">
        <v>956</v>
      </c>
      <c r="L212" s="0" t="s">
        <v>957</v>
      </c>
      <c r="M212" s="0" t="s">
        <v>65</v>
      </c>
      <c r="N212" s="0" t="n">
        <v>1.4237</v>
      </c>
      <c r="O212" s="0" t="n">
        <v>3</v>
      </c>
      <c r="P212" s="0" t="n">
        <v>0.1126</v>
      </c>
      <c r="Q212" s="0" t="n">
        <v>100.2304</v>
      </c>
      <c r="R212" s="0" t="n">
        <v>2.7041</v>
      </c>
      <c r="S212" s="0" t="n">
        <v>102.3796</v>
      </c>
      <c r="T212" s="0" t="n">
        <v>0.9728</v>
      </c>
      <c r="U212" s="0" t="n">
        <v>0.921</v>
      </c>
      <c r="V212" s="0" t="n">
        <v>1.2956</v>
      </c>
      <c r="W212" s="0" t="n">
        <v>0.0092</v>
      </c>
      <c r="X212" s="0" t="n">
        <v>0.921</v>
      </c>
      <c r="Y212" s="0" t="n">
        <v>1.2956</v>
      </c>
      <c r="Z212" s="0" t="n">
        <v>231</v>
      </c>
      <c r="AA212" s="0" t="n">
        <v>231</v>
      </c>
      <c r="AB212" s="0" t="n">
        <v>230</v>
      </c>
      <c r="AC212" s="0" t="s">
        <v>91</v>
      </c>
      <c r="AD212" s="0" t="n">
        <v>200000</v>
      </c>
      <c r="AE212" s="0" t="n">
        <v>200460.8</v>
      </c>
      <c r="AF212" s="0" t="n">
        <v>200460.8</v>
      </c>
      <c r="AG212" s="0" t="n">
        <v>0.006253</v>
      </c>
      <c r="AH212" s="4" t="b">
        <f aca="false">FALSE()</f>
        <v>0</v>
      </c>
      <c r="AJ212" s="4" t="b">
        <f aca="false">FALSE()</f>
        <v>0</v>
      </c>
      <c r="AK212" s="4" t="b">
        <f aca="false">FALSE()</f>
        <v>0</v>
      </c>
      <c r="AL212" s="0" t="s">
        <v>67</v>
      </c>
      <c r="AM212" s="0" t="n">
        <v>0.4632</v>
      </c>
      <c r="AN212" s="0" t="n">
        <v>-0.4599</v>
      </c>
      <c r="AO212" s="0" t="n">
        <v>0.9296</v>
      </c>
      <c r="AP212" s="0" t="n">
        <v>-0.9166</v>
      </c>
      <c r="AQ212" s="0" t="n">
        <v>1.8722</v>
      </c>
      <c r="AR212" s="0" t="n">
        <v>-1.8203</v>
      </c>
    </row>
    <row r="213" customFormat="false" ht="15" hidden="false" customHeight="false" outlineLevel="0" collapsed="false">
      <c r="A213" s="0" t="s">
        <v>958</v>
      </c>
      <c r="B213" s="0" t="s">
        <v>959</v>
      </c>
      <c r="C213" s="0" t="s">
        <v>942</v>
      </c>
      <c r="D213" s="0" t="s">
        <v>536</v>
      </c>
      <c r="E213" s="0" t="s">
        <v>910</v>
      </c>
      <c r="F213" s="0" t="s">
        <v>61</v>
      </c>
      <c r="G213" s="0" t="n">
        <v>100</v>
      </c>
      <c r="H213" s="0" t="n">
        <v>0.1146</v>
      </c>
      <c r="I213" s="0" t="n">
        <v>2</v>
      </c>
      <c r="J213" s="0" t="s">
        <v>62</v>
      </c>
      <c r="K213" s="0" t="s">
        <v>960</v>
      </c>
      <c r="L213" s="0" t="s">
        <v>201</v>
      </c>
      <c r="M213" s="0" t="s">
        <v>65</v>
      </c>
      <c r="N213" s="0" t="n">
        <v>2.2779</v>
      </c>
      <c r="O213" s="0" t="n">
        <v>4</v>
      </c>
      <c r="P213" s="0" t="n">
        <v>0.1063</v>
      </c>
      <c r="Q213" s="0" t="n">
        <v>101.4609</v>
      </c>
      <c r="R213" s="0" t="n">
        <v>1.1159</v>
      </c>
      <c r="S213" s="0" t="n">
        <v>101.7998</v>
      </c>
      <c r="T213" s="0" t="n">
        <v>1.8445</v>
      </c>
      <c r="U213" s="0" t="n">
        <v>1.7514</v>
      </c>
      <c r="V213" s="0" t="n">
        <v>4.0426</v>
      </c>
      <c r="W213" s="0" t="n">
        <v>0.0178</v>
      </c>
      <c r="X213" s="0" t="n">
        <v>1.7514</v>
      </c>
      <c r="Y213" s="0" t="n">
        <v>4.0426</v>
      </c>
      <c r="Z213" s="0" t="n">
        <v>230</v>
      </c>
      <c r="AA213" s="0" t="n">
        <v>230</v>
      </c>
      <c r="AB213" s="0" t="n">
        <v>225</v>
      </c>
      <c r="AC213" s="0" t="s">
        <v>66</v>
      </c>
      <c r="AD213" s="0" t="n">
        <v>50000</v>
      </c>
      <c r="AE213" s="0" t="n">
        <v>50730.45</v>
      </c>
      <c r="AF213" s="0" t="n">
        <v>50730.45</v>
      </c>
      <c r="AG213" s="0" t="n">
        <v>0.001582</v>
      </c>
      <c r="AH213" s="4" t="b">
        <f aca="false">FALSE()</f>
        <v>0</v>
      </c>
      <c r="AJ213" s="4" t="b">
        <f aca="false">FALSE()</f>
        <v>0</v>
      </c>
      <c r="AK213" s="4" t="b">
        <f aca="false">FALSE()</f>
        <v>0</v>
      </c>
      <c r="AL213" s="0" t="s">
        <v>67</v>
      </c>
      <c r="AM213" s="0" t="n">
        <v>0.8936</v>
      </c>
      <c r="AN213" s="0" t="n">
        <v>-0.8834</v>
      </c>
      <c r="AO213" s="0" t="n">
        <v>1.7975</v>
      </c>
      <c r="AP213" s="0" t="n">
        <v>-1.7565</v>
      </c>
      <c r="AQ213" s="0" t="n">
        <v>3.636</v>
      </c>
      <c r="AR213" s="0" t="n">
        <v>-3.4719</v>
      </c>
    </row>
    <row r="214" customFormat="false" ht="15" hidden="false" customHeight="false" outlineLevel="0" collapsed="false">
      <c r="A214" s="0" t="s">
        <v>961</v>
      </c>
      <c r="B214" s="0" t="s">
        <v>962</v>
      </c>
      <c r="C214" s="0" t="s">
        <v>929</v>
      </c>
      <c r="D214" s="0" t="s">
        <v>536</v>
      </c>
      <c r="E214" s="0" t="s">
        <v>915</v>
      </c>
      <c r="F214" s="0" t="s">
        <v>61</v>
      </c>
      <c r="G214" s="0" t="n">
        <v>100</v>
      </c>
      <c r="H214" s="0" t="n">
        <v>0.0984</v>
      </c>
      <c r="I214" s="0" t="n">
        <v>2</v>
      </c>
      <c r="J214" s="0" t="s">
        <v>62</v>
      </c>
      <c r="K214" s="0" t="s">
        <v>963</v>
      </c>
      <c r="L214" s="0" t="s">
        <v>964</v>
      </c>
      <c r="M214" s="0" t="s">
        <v>65</v>
      </c>
      <c r="N214" s="0" t="n">
        <v>2.9733</v>
      </c>
      <c r="O214" s="0" t="n">
        <v>5</v>
      </c>
      <c r="P214" s="0" t="n">
        <v>0.1156</v>
      </c>
      <c r="Q214" s="0" t="n">
        <v>96.3556</v>
      </c>
      <c r="R214" s="0" t="n">
        <v>0.5409</v>
      </c>
      <c r="S214" s="0" t="n">
        <v>98.1926</v>
      </c>
      <c r="T214" s="0" t="n">
        <v>2.2715</v>
      </c>
      <c r="U214" s="0" t="n">
        <v>2.1474</v>
      </c>
      <c r="V214" s="0" t="n">
        <v>5.8915</v>
      </c>
      <c r="W214" s="0" t="n">
        <v>0.0207</v>
      </c>
      <c r="X214" s="0" t="n">
        <v>2.1474</v>
      </c>
      <c r="Y214" s="0" t="n">
        <v>5.8915</v>
      </c>
      <c r="Z214" s="0" t="n">
        <v>241</v>
      </c>
      <c r="AA214" s="0" t="n">
        <v>241</v>
      </c>
      <c r="AB214" s="0" t="n">
        <v>245</v>
      </c>
      <c r="AC214" s="0" t="s">
        <v>66</v>
      </c>
      <c r="AD214" s="0" t="n">
        <v>5000</v>
      </c>
      <c r="AE214" s="0" t="n">
        <v>4817.78</v>
      </c>
      <c r="AF214" s="0" t="n">
        <v>4817.78</v>
      </c>
      <c r="AG214" s="0" t="n">
        <v>0.00015</v>
      </c>
      <c r="AH214" s="4" t="b">
        <f aca="false">FALSE()</f>
        <v>0</v>
      </c>
      <c r="AJ214" s="4" t="b">
        <f aca="false">FALSE()</f>
        <v>0</v>
      </c>
      <c r="AK214" s="4" t="b">
        <f aca="false">FALSE()</f>
        <v>0</v>
      </c>
      <c r="AL214" s="0" t="s">
        <v>67</v>
      </c>
      <c r="AM214" s="0" t="n">
        <v>1.0417</v>
      </c>
      <c r="AN214" s="0" t="n">
        <v>-1.0275</v>
      </c>
      <c r="AO214" s="0" t="n">
        <v>2.0975</v>
      </c>
      <c r="AP214" s="0" t="n">
        <v>-2.0408</v>
      </c>
      <c r="AQ214" s="0" t="n">
        <v>4.2518</v>
      </c>
      <c r="AR214" s="0" t="n">
        <v>-4.0247</v>
      </c>
    </row>
    <row r="215" customFormat="false" ht="15" hidden="false" customHeight="false" outlineLevel="0" collapsed="false">
      <c r="A215" s="0" t="s">
        <v>965</v>
      </c>
      <c r="B215" s="0" t="s">
        <v>966</v>
      </c>
      <c r="C215" s="0" t="s">
        <v>955</v>
      </c>
      <c r="D215" s="0" t="s">
        <v>536</v>
      </c>
      <c r="E215" s="0" t="s">
        <v>910</v>
      </c>
      <c r="F215" s="0" t="s">
        <v>61</v>
      </c>
      <c r="G215" s="0" t="n">
        <v>100</v>
      </c>
      <c r="H215" s="0" t="n">
        <v>0.1018</v>
      </c>
      <c r="I215" s="0" t="n">
        <v>2</v>
      </c>
      <c r="J215" s="0" t="s">
        <v>62</v>
      </c>
      <c r="K215" s="0" t="s">
        <v>106</v>
      </c>
      <c r="L215" s="0" t="s">
        <v>967</v>
      </c>
      <c r="M215" s="0" t="s">
        <v>65</v>
      </c>
      <c r="N215" s="0" t="n">
        <v>1.1964</v>
      </c>
      <c r="O215" s="0" t="n">
        <v>2</v>
      </c>
      <c r="P215" s="0" t="n">
        <v>0.1137</v>
      </c>
      <c r="Q215" s="0" t="n">
        <v>98.9043</v>
      </c>
      <c r="R215" s="0" t="n">
        <v>2.3048</v>
      </c>
      <c r="S215" s="0" t="n">
        <v>101.0713</v>
      </c>
      <c r="T215" s="0" t="n">
        <v>0.9757</v>
      </c>
      <c r="U215" s="0" t="n">
        <v>0.9232</v>
      </c>
      <c r="V215" s="0" t="n">
        <v>1.2994</v>
      </c>
      <c r="W215" s="0" t="n">
        <v>0.0091</v>
      </c>
      <c r="X215" s="0" t="n">
        <v>0.9232</v>
      </c>
      <c r="Y215" s="0" t="n">
        <v>1.2994</v>
      </c>
      <c r="Z215" s="0" t="n">
        <v>208</v>
      </c>
      <c r="AA215" s="0" t="n">
        <v>208</v>
      </c>
      <c r="AB215" s="0" t="n">
        <v>207</v>
      </c>
      <c r="AC215" s="0" t="s">
        <v>91</v>
      </c>
      <c r="AD215" s="0" t="n">
        <v>200000</v>
      </c>
      <c r="AE215" s="0" t="n">
        <v>197808.6</v>
      </c>
      <c r="AF215" s="0" t="n">
        <v>197808.6</v>
      </c>
      <c r="AG215" s="0" t="n">
        <v>0.00617</v>
      </c>
      <c r="AH215" s="4" t="b">
        <f aca="false">FALSE()</f>
        <v>0</v>
      </c>
      <c r="AJ215" s="4" t="b">
        <f aca="false">FALSE()</f>
        <v>0</v>
      </c>
      <c r="AK215" s="4" t="b">
        <f aca="false">FALSE()</f>
        <v>0</v>
      </c>
      <c r="AL215" s="0" t="s">
        <v>67</v>
      </c>
      <c r="AM215" s="0" t="n">
        <v>0.4581</v>
      </c>
      <c r="AN215" s="0" t="n">
        <v>-0.4549</v>
      </c>
      <c r="AO215" s="0" t="n">
        <v>0.9195</v>
      </c>
      <c r="AP215" s="0" t="n">
        <v>-0.9067</v>
      </c>
      <c r="AQ215" s="0" t="n">
        <v>1.8519</v>
      </c>
      <c r="AR215" s="0" t="n">
        <v>-1.8005</v>
      </c>
    </row>
    <row r="216" customFormat="false" ht="15" hidden="false" customHeight="false" outlineLevel="0" collapsed="false">
      <c r="A216" s="0" t="s">
        <v>968</v>
      </c>
      <c r="B216" s="0" t="s">
        <v>969</v>
      </c>
      <c r="C216" s="0" t="s">
        <v>955</v>
      </c>
      <c r="D216" s="0" t="s">
        <v>909</v>
      </c>
      <c r="E216" s="0" t="s">
        <v>915</v>
      </c>
      <c r="F216" s="0" t="s">
        <v>61</v>
      </c>
      <c r="G216" s="0" t="n">
        <v>100</v>
      </c>
      <c r="H216" s="0" t="n">
        <v>0.0922</v>
      </c>
      <c r="I216" s="0" t="n">
        <v>2</v>
      </c>
      <c r="J216" s="0" t="s">
        <v>62</v>
      </c>
      <c r="K216" s="0" t="s">
        <v>970</v>
      </c>
      <c r="L216" s="0" t="s">
        <v>971</v>
      </c>
      <c r="M216" s="0" t="s">
        <v>65</v>
      </c>
      <c r="N216" s="0" t="n">
        <v>1.2485</v>
      </c>
      <c r="O216" s="0" t="n">
        <v>2</v>
      </c>
      <c r="P216" s="0" t="n">
        <v>0.0999</v>
      </c>
      <c r="Q216" s="0" t="n">
        <v>99.2841</v>
      </c>
      <c r="R216" s="0" t="n">
        <v>0.8232</v>
      </c>
      <c r="S216" s="0" t="n">
        <v>100.8314</v>
      </c>
      <c r="T216" s="0" t="n">
        <v>0.9779</v>
      </c>
      <c r="U216" s="0" t="n">
        <v>0.9314</v>
      </c>
      <c r="V216" s="0" t="n">
        <v>1.3206</v>
      </c>
      <c r="W216" s="0" t="n">
        <v>0.0092</v>
      </c>
      <c r="X216" s="0" t="n">
        <v>0.9314</v>
      </c>
      <c r="Y216" s="0" t="n">
        <v>1.3206</v>
      </c>
      <c r="Z216" s="0" t="n">
        <v>244</v>
      </c>
      <c r="AA216" s="0" t="n">
        <v>244</v>
      </c>
      <c r="AB216" s="0" t="n">
        <v>246</v>
      </c>
      <c r="AC216" s="0" t="s">
        <v>91</v>
      </c>
      <c r="AD216" s="0" t="n">
        <v>100000</v>
      </c>
      <c r="AE216" s="0" t="n">
        <v>99284.1</v>
      </c>
      <c r="AF216" s="0" t="n">
        <v>99284.1</v>
      </c>
      <c r="AG216" s="0" t="n">
        <v>0.003097</v>
      </c>
      <c r="AH216" s="4" t="b">
        <f aca="false">FALSE()</f>
        <v>0</v>
      </c>
      <c r="AJ216" s="4" t="b">
        <f aca="false">FALSE()</f>
        <v>0</v>
      </c>
      <c r="AK216" s="4" t="b">
        <f aca="false">FALSE()</f>
        <v>0</v>
      </c>
      <c r="AL216" s="0" t="s">
        <v>67</v>
      </c>
      <c r="AM216" s="0" t="n">
        <v>0.464</v>
      </c>
      <c r="AN216" s="0" t="n">
        <v>-0.4607</v>
      </c>
      <c r="AO216" s="0" t="n">
        <v>0.9313</v>
      </c>
      <c r="AP216" s="0" t="n">
        <v>-0.9182</v>
      </c>
      <c r="AQ216" s="0" t="n">
        <v>1.8757</v>
      </c>
      <c r="AR216" s="0" t="n">
        <v>-1.8232</v>
      </c>
    </row>
    <row r="217" customFormat="false" ht="15" hidden="false" customHeight="false" outlineLevel="0" collapsed="false">
      <c r="A217" s="0" t="s">
        <v>972</v>
      </c>
      <c r="B217" s="0" t="s">
        <v>973</v>
      </c>
      <c r="C217" s="0" t="s">
        <v>942</v>
      </c>
      <c r="D217" s="0" t="s">
        <v>536</v>
      </c>
      <c r="E217" s="0" t="s">
        <v>910</v>
      </c>
      <c r="F217" s="0" t="s">
        <v>61</v>
      </c>
      <c r="G217" s="0" t="n">
        <v>100</v>
      </c>
      <c r="H217" s="0" t="n">
        <v>0.107</v>
      </c>
      <c r="I217" s="0" t="n">
        <v>2</v>
      </c>
      <c r="J217" s="0" t="s">
        <v>62</v>
      </c>
      <c r="K217" s="0" t="s">
        <v>974</v>
      </c>
      <c r="L217" s="0" t="s">
        <v>975</v>
      </c>
      <c r="M217" s="0" t="s">
        <v>65</v>
      </c>
      <c r="N217" s="0" t="n">
        <v>1.0787</v>
      </c>
      <c r="O217" s="0" t="n">
        <v>4</v>
      </c>
      <c r="P217" s="0" t="n">
        <v>0.119</v>
      </c>
      <c r="Q217" s="0" t="n">
        <v>98.8992</v>
      </c>
      <c r="R217" s="0" t="n">
        <v>2.1016</v>
      </c>
      <c r="S217" s="0" t="n">
        <v>100.8043</v>
      </c>
      <c r="T217" s="0" t="n">
        <v>0.9745</v>
      </c>
      <c r="U217" s="0" t="n">
        <v>0.9198</v>
      </c>
      <c r="V217" s="0" t="n">
        <v>1.2908</v>
      </c>
      <c r="W217" s="0" t="n">
        <v>0.0091</v>
      </c>
      <c r="X217" s="0" t="n">
        <v>0.9198</v>
      </c>
      <c r="Y217" s="0" t="n">
        <v>1.2908</v>
      </c>
      <c r="Z217" s="0" t="n">
        <v>121</v>
      </c>
      <c r="AA217" s="0" t="n">
        <v>121</v>
      </c>
      <c r="AB217" s="0" t="n">
        <v>129</v>
      </c>
      <c r="AC217" s="0" t="s">
        <v>91</v>
      </c>
      <c r="AD217" s="0" t="n">
        <v>10000</v>
      </c>
      <c r="AE217" s="0" t="n">
        <v>9889.92</v>
      </c>
      <c r="AF217" s="0" t="n">
        <v>9889.92</v>
      </c>
      <c r="AG217" s="0" t="n">
        <v>0.000308</v>
      </c>
      <c r="AH217" s="4" t="b">
        <f aca="false">FALSE()</f>
        <v>0</v>
      </c>
      <c r="AJ217" s="4" t="b">
        <f aca="false">FALSE()</f>
        <v>0</v>
      </c>
      <c r="AK217" s="4" t="b">
        <f aca="false">FALSE()</f>
        <v>0</v>
      </c>
      <c r="AL217" s="0" t="s">
        <v>67</v>
      </c>
      <c r="AM217" s="0" t="n">
        <v>0.4564</v>
      </c>
      <c r="AN217" s="0" t="n">
        <v>-0.4532</v>
      </c>
      <c r="AO217" s="0" t="n">
        <v>0.9161</v>
      </c>
      <c r="AP217" s="0" t="n">
        <v>-0.9033</v>
      </c>
      <c r="AQ217" s="0" t="n">
        <v>1.8449</v>
      </c>
      <c r="AR217" s="0" t="n">
        <v>-1.7938</v>
      </c>
    </row>
    <row r="218" customFormat="false" ht="15" hidden="false" customHeight="false" outlineLevel="0" collapsed="false">
      <c r="A218" s="0" t="s">
        <v>976</v>
      </c>
      <c r="B218" s="0" t="s">
        <v>977</v>
      </c>
      <c r="C218" s="0" t="s">
        <v>908</v>
      </c>
      <c r="D218" s="0" t="s">
        <v>909</v>
      </c>
      <c r="E218" s="0" t="s">
        <v>910</v>
      </c>
      <c r="F218" s="0" t="s">
        <v>61</v>
      </c>
      <c r="G218" s="0" t="n">
        <v>100</v>
      </c>
      <c r="H218" s="0" t="n">
        <v>0.1094</v>
      </c>
      <c r="I218" s="0" t="n">
        <v>2</v>
      </c>
      <c r="J218" s="0" t="s">
        <v>62</v>
      </c>
      <c r="K218" s="0" t="s">
        <v>978</v>
      </c>
      <c r="L218" s="0" t="s">
        <v>979</v>
      </c>
      <c r="M218" s="0" t="s">
        <v>65</v>
      </c>
      <c r="N218" s="0" t="n">
        <v>0.6598</v>
      </c>
      <c r="O218" s="0" t="n">
        <v>2</v>
      </c>
      <c r="P218" s="0" t="n">
        <v>0.1165</v>
      </c>
      <c r="Q218" s="0" t="n">
        <v>99.6645</v>
      </c>
      <c r="R218" s="0" t="n">
        <v>2.4241</v>
      </c>
      <c r="S218" s="0" t="n">
        <v>99.8736</v>
      </c>
      <c r="T218" s="0" t="n">
        <v>0.5</v>
      </c>
      <c r="U218" s="0" t="n">
        <v>0.4725</v>
      </c>
      <c r="V218" s="0" t="n">
        <v>0.4465</v>
      </c>
      <c r="W218" s="0" t="n">
        <v>0.0047</v>
      </c>
      <c r="X218" s="0" t="n">
        <v>0.4725</v>
      </c>
      <c r="Y218" s="0" t="n">
        <v>0.4465</v>
      </c>
      <c r="Z218" s="0" t="n">
        <v>170</v>
      </c>
      <c r="AA218" s="0" t="n">
        <v>170</v>
      </c>
      <c r="AB218" s="0" t="n">
        <v>167</v>
      </c>
      <c r="AC218" s="0" t="s">
        <v>173</v>
      </c>
      <c r="AD218" s="0" t="n">
        <v>10000</v>
      </c>
      <c r="AE218" s="0" t="n">
        <v>9966.45</v>
      </c>
      <c r="AF218" s="0" t="n">
        <v>9966.45</v>
      </c>
      <c r="AG218" s="0" t="n">
        <v>0.000311</v>
      </c>
      <c r="AH218" s="4" t="b">
        <f aca="false">FALSE()</f>
        <v>0</v>
      </c>
      <c r="AJ218" s="4" t="b">
        <f aca="false">FALSE()</f>
        <v>0</v>
      </c>
      <c r="AK218" s="4" t="b">
        <f aca="false">FALSE()</f>
        <v>0</v>
      </c>
      <c r="AL218" s="0" t="s">
        <v>67</v>
      </c>
      <c r="AM218" s="0" t="n">
        <v>0.236</v>
      </c>
      <c r="AN218" s="0" t="n">
        <v>-0.2349</v>
      </c>
      <c r="AO218" s="0" t="n">
        <v>0.4731</v>
      </c>
      <c r="AP218" s="0" t="n">
        <v>-0.4687</v>
      </c>
      <c r="AQ218" s="0" t="n">
        <v>0.9507</v>
      </c>
      <c r="AR218" s="0" t="n">
        <v>-0.9329</v>
      </c>
    </row>
    <row r="219" customFormat="false" ht="15" hidden="false" customHeight="false" outlineLevel="0" collapsed="false">
      <c r="A219" s="0" t="s">
        <v>980</v>
      </c>
      <c r="B219" s="0" t="s">
        <v>981</v>
      </c>
      <c r="C219" s="0" t="s">
        <v>942</v>
      </c>
      <c r="D219" s="0" t="s">
        <v>536</v>
      </c>
      <c r="E219" s="0" t="s">
        <v>915</v>
      </c>
      <c r="F219" s="0" t="s">
        <v>61</v>
      </c>
      <c r="G219" s="0" t="n">
        <v>100</v>
      </c>
      <c r="H219" s="0" t="n">
        <v>0.1096</v>
      </c>
      <c r="I219" s="0" t="n">
        <v>2</v>
      </c>
      <c r="J219" s="0" t="s">
        <v>62</v>
      </c>
      <c r="K219" s="0" t="s">
        <v>982</v>
      </c>
      <c r="L219" s="0" t="s">
        <v>983</v>
      </c>
      <c r="M219" s="0" t="s">
        <v>65</v>
      </c>
      <c r="N219" s="0" t="n">
        <v>1.7687</v>
      </c>
      <c r="O219" s="0" t="n">
        <v>3</v>
      </c>
      <c r="P219" s="0" t="n">
        <v>0.1006</v>
      </c>
      <c r="Q219" s="0" t="n">
        <v>101.2248</v>
      </c>
      <c r="R219" s="0" t="n">
        <v>1.3985</v>
      </c>
      <c r="S219" s="0" t="n">
        <v>102.312</v>
      </c>
      <c r="T219" s="0" t="n">
        <v>1.4239</v>
      </c>
      <c r="U219" s="0" t="n">
        <v>1.3557</v>
      </c>
      <c r="V219" s="0" t="n">
        <v>2.536</v>
      </c>
      <c r="W219" s="0" t="n">
        <v>0.0137</v>
      </c>
      <c r="X219" s="0" t="n">
        <v>1.356</v>
      </c>
      <c r="Y219" s="0" t="n">
        <v>2.4077</v>
      </c>
      <c r="Z219" s="0" t="n">
        <v>194</v>
      </c>
      <c r="AA219" s="0" t="n">
        <v>168</v>
      </c>
      <c r="AB219" s="0" t="n">
        <v>194</v>
      </c>
      <c r="AC219" s="0" t="s">
        <v>91</v>
      </c>
      <c r="AD219" s="0" t="n">
        <v>500000</v>
      </c>
      <c r="AE219" s="0" t="n">
        <v>506124</v>
      </c>
      <c r="AF219" s="0" t="n">
        <v>506124</v>
      </c>
      <c r="AG219" s="0" t="n">
        <v>0.015787</v>
      </c>
      <c r="AH219" s="4" t="b">
        <f aca="false">TRUE()</f>
        <v>1</v>
      </c>
      <c r="AI219" s="0" t="s">
        <v>984</v>
      </c>
      <c r="AJ219" s="4" t="b">
        <f aca="false">FALSE()</f>
        <v>0</v>
      </c>
      <c r="AK219" s="4" t="b">
        <f aca="false">FALSE()</f>
        <v>0</v>
      </c>
      <c r="AL219" s="0" t="s">
        <v>67</v>
      </c>
      <c r="AM219" s="0" t="n">
        <v>0.6894</v>
      </c>
      <c r="AN219" s="0" t="n">
        <v>-0.6829</v>
      </c>
      <c r="AO219" s="0" t="n">
        <v>1.3851</v>
      </c>
      <c r="AP219" s="0" t="n">
        <v>-1.3595</v>
      </c>
      <c r="AQ219" s="0" t="n">
        <v>2.796</v>
      </c>
      <c r="AR219" s="0" t="n">
        <v>-2.6933</v>
      </c>
    </row>
    <row r="220" customFormat="false" ht="15" hidden="false" customHeight="false" outlineLevel="0" collapsed="false">
      <c r="A220" s="0" t="s">
        <v>985</v>
      </c>
      <c r="B220" s="0" t="s">
        <v>986</v>
      </c>
      <c r="C220" s="0" t="s">
        <v>929</v>
      </c>
      <c r="D220" s="0" t="s">
        <v>920</v>
      </c>
      <c r="E220" s="0" t="s">
        <v>915</v>
      </c>
      <c r="F220" s="0" t="s">
        <v>61</v>
      </c>
      <c r="G220" s="0" t="n">
        <v>100</v>
      </c>
      <c r="H220" s="0" t="n">
        <v>0.097</v>
      </c>
      <c r="I220" s="0" t="n">
        <v>2</v>
      </c>
      <c r="J220" s="0" t="s">
        <v>62</v>
      </c>
      <c r="K220" s="0" t="s">
        <v>987</v>
      </c>
      <c r="L220" s="0" t="s">
        <v>988</v>
      </c>
      <c r="M220" s="0" t="s">
        <v>65</v>
      </c>
      <c r="N220" s="0" t="n">
        <v>2.3901</v>
      </c>
      <c r="O220" s="0" t="n">
        <v>4</v>
      </c>
      <c r="P220" s="0" t="n">
        <v>0.0961</v>
      </c>
      <c r="Q220" s="0" t="n">
        <v>100.1603</v>
      </c>
      <c r="R220" s="0" t="n">
        <v>2.2259</v>
      </c>
      <c r="S220" s="0" t="n">
        <v>102.2981</v>
      </c>
      <c r="T220" s="0" t="n">
        <v>1.8656</v>
      </c>
      <c r="U220" s="0" t="n">
        <v>1.7801</v>
      </c>
      <c r="V220" s="0" t="n">
        <v>4.1457</v>
      </c>
      <c r="W220" s="0" t="n">
        <v>0.0178</v>
      </c>
      <c r="X220" s="0" t="n">
        <v>1.7801</v>
      </c>
      <c r="Y220" s="0" t="n">
        <v>4.1457</v>
      </c>
      <c r="Z220" s="0" t="n">
        <v>212</v>
      </c>
      <c r="AA220" s="0" t="n">
        <v>212</v>
      </c>
      <c r="AB220" s="0" t="n">
        <v>208</v>
      </c>
      <c r="AC220" s="0" t="s">
        <v>66</v>
      </c>
      <c r="AD220" s="0" t="n">
        <v>10000</v>
      </c>
      <c r="AE220" s="0" t="n">
        <v>10016.03</v>
      </c>
      <c r="AF220" s="0" t="n">
        <v>10016.03</v>
      </c>
      <c r="AG220" s="0" t="n">
        <v>0.000312</v>
      </c>
      <c r="AH220" s="4" t="b">
        <f aca="false">FALSE()</f>
        <v>0</v>
      </c>
      <c r="AJ220" s="4" t="b">
        <f aca="false">FALSE()</f>
        <v>0</v>
      </c>
      <c r="AK220" s="4" t="b">
        <f aca="false">FALSE()</f>
        <v>0</v>
      </c>
      <c r="AL220" s="0" t="s">
        <v>67</v>
      </c>
      <c r="AM220" s="0" t="n">
        <v>0.8967</v>
      </c>
      <c r="AN220" s="0" t="n">
        <v>-0.8863</v>
      </c>
      <c r="AO220" s="0" t="n">
        <v>1.8037</v>
      </c>
      <c r="AP220" s="0" t="n">
        <v>-1.7622</v>
      </c>
      <c r="AQ220" s="0" t="n">
        <v>3.649</v>
      </c>
      <c r="AR220" s="0" t="n">
        <v>-3.4829</v>
      </c>
    </row>
    <row r="221" customFormat="false" ht="15" hidden="false" customHeight="false" outlineLevel="0" collapsed="false">
      <c r="A221" s="0" t="s">
        <v>989</v>
      </c>
      <c r="B221" s="0" t="s">
        <v>990</v>
      </c>
      <c r="C221" s="0" t="s">
        <v>908</v>
      </c>
      <c r="D221" s="0" t="s">
        <v>536</v>
      </c>
      <c r="E221" s="0" t="s">
        <v>915</v>
      </c>
      <c r="F221" s="0" t="s">
        <v>61</v>
      </c>
      <c r="G221" s="0" t="n">
        <v>100</v>
      </c>
      <c r="H221" s="0" t="n">
        <v>0.1076</v>
      </c>
      <c r="I221" s="0" t="n">
        <v>2</v>
      </c>
      <c r="J221" s="0" t="s">
        <v>62</v>
      </c>
      <c r="K221" s="0" t="s">
        <v>991</v>
      </c>
      <c r="L221" s="0" t="s">
        <v>992</v>
      </c>
      <c r="M221" s="0" t="s">
        <v>65</v>
      </c>
      <c r="N221" s="0" t="n">
        <v>0.9829</v>
      </c>
      <c r="O221" s="0" t="n">
        <v>2</v>
      </c>
      <c r="P221" s="0" t="n">
        <v>0.1044</v>
      </c>
      <c r="Q221" s="0" t="n">
        <v>100.1521</v>
      </c>
      <c r="R221" s="0" t="n">
        <v>2.3342</v>
      </c>
      <c r="S221" s="0" t="n">
        <v>101.4618</v>
      </c>
      <c r="T221" s="0" t="n">
        <v>0.5</v>
      </c>
      <c r="U221" s="0" t="n">
        <v>0.4752</v>
      </c>
      <c r="V221" s="0" t="n">
        <v>0.4516</v>
      </c>
      <c r="W221" s="0" t="n">
        <v>0.0048</v>
      </c>
      <c r="X221" s="0" t="n">
        <v>0.4752</v>
      </c>
      <c r="Y221" s="0" t="n">
        <v>0.4516</v>
      </c>
      <c r="Z221" s="0" t="n">
        <v>223</v>
      </c>
      <c r="AA221" s="0" t="n">
        <v>223</v>
      </c>
      <c r="AB221" s="0" t="n">
        <v>233</v>
      </c>
      <c r="AC221" s="0" t="s">
        <v>173</v>
      </c>
      <c r="AD221" s="0" t="n">
        <v>10000</v>
      </c>
      <c r="AE221" s="0" t="n">
        <v>10015.21</v>
      </c>
      <c r="AF221" s="0" t="n">
        <v>10015.21</v>
      </c>
      <c r="AG221" s="0" t="n">
        <v>0.000312</v>
      </c>
      <c r="AH221" s="4" t="b">
        <f aca="false">FALSE()</f>
        <v>0</v>
      </c>
      <c r="AJ221" s="4" t="b">
        <f aca="false">FALSE()</f>
        <v>0</v>
      </c>
      <c r="AK221" s="4" t="b">
        <f aca="false">FALSE()</f>
        <v>0</v>
      </c>
      <c r="AL221" s="0" t="s">
        <v>67</v>
      </c>
      <c r="AM221" s="0" t="n">
        <v>0.2385</v>
      </c>
      <c r="AN221" s="0" t="n">
        <v>-0.2374</v>
      </c>
      <c r="AO221" s="0" t="n">
        <v>0.4782</v>
      </c>
      <c r="AP221" s="0" t="n">
        <v>-0.4737</v>
      </c>
      <c r="AQ221" s="0" t="n">
        <v>0.9609</v>
      </c>
      <c r="AR221" s="0" t="n">
        <v>-0.9428</v>
      </c>
    </row>
    <row r="222" customFormat="false" ht="15" hidden="false" customHeight="false" outlineLevel="0" collapsed="false">
      <c r="A222" s="0" t="s">
        <v>993</v>
      </c>
      <c r="B222" s="0" t="s">
        <v>994</v>
      </c>
      <c r="C222" s="0" t="s">
        <v>995</v>
      </c>
      <c r="D222" s="0" t="s">
        <v>59</v>
      </c>
      <c r="E222" s="0" t="s">
        <v>60</v>
      </c>
      <c r="F222" s="0" t="s">
        <v>996</v>
      </c>
      <c r="G222" s="0" t="n">
        <v>100</v>
      </c>
      <c r="H222" s="0" t="n">
        <v>0.0263</v>
      </c>
      <c r="I222" s="0" t="n">
        <v>2</v>
      </c>
      <c r="J222" s="0" t="s">
        <v>62</v>
      </c>
      <c r="K222" s="0" t="s">
        <v>997</v>
      </c>
      <c r="L222" s="0" t="s">
        <v>998</v>
      </c>
      <c r="M222" s="0" t="s">
        <v>65</v>
      </c>
      <c r="N222" s="0" t="n">
        <v>5.5524</v>
      </c>
      <c r="O222" s="0" t="n">
        <v>7</v>
      </c>
      <c r="P222" s="0" t="n">
        <v>0.044</v>
      </c>
      <c r="Q222" s="0" t="n">
        <v>91.4364</v>
      </c>
      <c r="R222" s="0" t="n">
        <v>0.0778</v>
      </c>
      <c r="S222" s="0" t="n">
        <v>91.5879</v>
      </c>
      <c r="T222" s="0" t="n">
        <v>5.137</v>
      </c>
      <c r="U222" s="0" t="n">
        <v>5.0264</v>
      </c>
      <c r="V222" s="0" t="n">
        <v>28.8363</v>
      </c>
      <c r="W222" s="0" t="n">
        <v>0.046</v>
      </c>
      <c r="X222" s="0" t="n">
        <v>5.0264</v>
      </c>
      <c r="Y222" s="0" t="n">
        <v>28.8363</v>
      </c>
      <c r="Z222" s="0" t="n">
        <v>0</v>
      </c>
      <c r="AA222" s="0" t="n">
        <v>0</v>
      </c>
      <c r="AB222" s="0" t="n">
        <v>5</v>
      </c>
      <c r="AC222" s="0" t="s">
        <v>77</v>
      </c>
      <c r="AD222" s="0" t="n">
        <v>5000</v>
      </c>
      <c r="AE222" s="0" t="n">
        <v>4571.82</v>
      </c>
      <c r="AF222" s="0" t="n">
        <v>381746.97</v>
      </c>
      <c r="AG222" s="0" t="n">
        <v>0.011908</v>
      </c>
      <c r="AH222" s="4" t="b">
        <f aca="false">FALSE()</f>
        <v>0</v>
      </c>
      <c r="AJ222" s="4" t="b">
        <f aca="false">FALSE()</f>
        <v>0</v>
      </c>
      <c r="AK222" s="4" t="b">
        <f aca="false">FALSE()</f>
        <v>0</v>
      </c>
      <c r="AL222" s="0" t="s">
        <v>999</v>
      </c>
      <c r="AM222" s="0" t="n">
        <v>2.3309</v>
      </c>
      <c r="AN222" s="0" t="n">
        <v>-2.265</v>
      </c>
      <c r="AO222" s="0" t="n">
        <v>4.7278</v>
      </c>
      <c r="AP222" s="0" t="n">
        <v>-4.4641</v>
      </c>
      <c r="AQ222" s="0" t="n">
        <v>9.7193</v>
      </c>
      <c r="AR222" s="0" t="n">
        <v>-8.6646</v>
      </c>
    </row>
    <row r="223" customFormat="false" ht="15" hidden="false" customHeight="false" outlineLevel="0" collapsed="false">
      <c r="A223" s="0" t="s">
        <v>1000</v>
      </c>
      <c r="B223" s="0" t="s">
        <v>1001</v>
      </c>
      <c r="C223" s="0" t="s">
        <v>995</v>
      </c>
      <c r="D223" s="0" t="s">
        <v>59</v>
      </c>
      <c r="E223" s="0" t="s">
        <v>60</v>
      </c>
      <c r="F223" s="0" t="s">
        <v>996</v>
      </c>
      <c r="G223" s="0" t="n">
        <v>100</v>
      </c>
      <c r="H223" s="0" t="n">
        <v>0.0213</v>
      </c>
      <c r="I223" s="0" t="n">
        <v>2</v>
      </c>
      <c r="J223" s="0" t="s">
        <v>62</v>
      </c>
      <c r="K223" s="0" t="s">
        <v>1002</v>
      </c>
      <c r="L223" s="0" t="s">
        <v>1003</v>
      </c>
      <c r="M223" s="0" t="s">
        <v>65</v>
      </c>
      <c r="N223" s="0" t="n">
        <v>10.9049</v>
      </c>
      <c r="O223" s="0" t="n">
        <v>20</v>
      </c>
      <c r="P223" s="0" t="n">
        <v>0.0393</v>
      </c>
      <c r="Q223" s="0" t="n">
        <v>84.6358</v>
      </c>
      <c r="R223" s="0" t="n">
        <v>0.0209</v>
      </c>
      <c r="S223" s="0" t="n">
        <v>84.9405</v>
      </c>
      <c r="T223" s="0" t="n">
        <v>9.3495</v>
      </c>
      <c r="U223" s="0" t="n">
        <v>9.1693</v>
      </c>
      <c r="V223" s="0" t="n">
        <v>95.1046</v>
      </c>
      <c r="W223" s="0" t="n">
        <v>0.0776</v>
      </c>
      <c r="X223" s="0" t="n">
        <v>9.1693</v>
      </c>
      <c r="Y223" s="0" t="n">
        <v>95.1046</v>
      </c>
      <c r="Z223" s="0" t="n">
        <v>0</v>
      </c>
      <c r="AA223" s="0" t="n">
        <v>0</v>
      </c>
      <c r="AB223" s="0" t="n">
        <v>-4</v>
      </c>
      <c r="AC223" s="0" t="s">
        <v>152</v>
      </c>
      <c r="AD223" s="0" t="n">
        <v>1000</v>
      </c>
      <c r="AE223" s="0" t="n">
        <v>846.36</v>
      </c>
      <c r="AF223" s="0" t="n">
        <v>70671.06</v>
      </c>
      <c r="AG223" s="0" t="n">
        <v>0.002204</v>
      </c>
      <c r="AH223" s="4" t="b">
        <f aca="false">FALSE()</f>
        <v>0</v>
      </c>
      <c r="AJ223" s="4" t="b">
        <f aca="false">FALSE()</f>
        <v>0</v>
      </c>
      <c r="AK223" s="4" t="b">
        <f aca="false">FALSE()</f>
        <v>0</v>
      </c>
      <c r="AL223" s="0" t="s">
        <v>999</v>
      </c>
      <c r="AM223" s="0" t="n">
        <v>3.9809</v>
      </c>
      <c r="AN223" s="0" t="n">
        <v>-3.7796</v>
      </c>
      <c r="AO223" s="0" t="n">
        <v>8.163</v>
      </c>
      <c r="AP223" s="0" t="n">
        <v>-7.358</v>
      </c>
      <c r="AQ223" s="0" t="n">
        <v>17.1309</v>
      </c>
      <c r="AR223" s="0" t="n">
        <v>-13.9112</v>
      </c>
    </row>
    <row r="224" customFormat="false" ht="15" hidden="false" customHeight="false" outlineLevel="0" collapsed="false">
      <c r="A224" s="0" t="s">
        <v>1004</v>
      </c>
      <c r="B224" s="0" t="s">
        <v>1005</v>
      </c>
      <c r="C224" s="0" t="s">
        <v>995</v>
      </c>
      <c r="D224" s="0" t="s">
        <v>59</v>
      </c>
      <c r="E224" s="0" t="s">
        <v>60</v>
      </c>
      <c r="F224" s="0" t="s">
        <v>996</v>
      </c>
      <c r="G224" s="0" t="n">
        <v>100</v>
      </c>
      <c r="H224" s="0" t="n">
        <v>0.0265</v>
      </c>
      <c r="I224" s="0" t="n">
        <v>2</v>
      </c>
      <c r="J224" s="0" t="s">
        <v>62</v>
      </c>
      <c r="K224" s="0" t="s">
        <v>1006</v>
      </c>
      <c r="L224" s="0" t="s">
        <v>1007</v>
      </c>
      <c r="M224" s="0" t="s">
        <v>65</v>
      </c>
      <c r="N224" s="0" t="n">
        <v>6.1027</v>
      </c>
      <c r="O224" s="0" t="n">
        <v>21</v>
      </c>
      <c r="P224" s="0" t="n">
        <v>0.0467</v>
      </c>
      <c r="Q224" s="0" t="n">
        <v>89.5354</v>
      </c>
      <c r="R224" s="0" t="n">
        <v>0.1453</v>
      </c>
      <c r="S224" s="0" t="n">
        <v>89.8075</v>
      </c>
      <c r="T224" s="0" t="n">
        <v>5.5573</v>
      </c>
      <c r="U224" s="0" t="n">
        <v>5.4305</v>
      </c>
      <c r="V224" s="0" t="n">
        <v>33.6114</v>
      </c>
      <c r="W224" s="0" t="n">
        <v>0.0486</v>
      </c>
      <c r="X224" s="0" t="n">
        <v>5.4305</v>
      </c>
      <c r="Y224" s="0" t="n">
        <v>33.6114</v>
      </c>
      <c r="Z224" s="0" t="n">
        <v>0</v>
      </c>
      <c r="AA224" s="0" t="n">
        <v>0</v>
      </c>
      <c r="AB224" s="0" t="n">
        <v>-1</v>
      </c>
      <c r="AC224" s="0" t="s">
        <v>77</v>
      </c>
      <c r="AD224" s="0" t="n">
        <v>100</v>
      </c>
      <c r="AE224" s="0" t="n">
        <v>89.54</v>
      </c>
      <c r="AF224" s="0" t="n">
        <v>7476.59</v>
      </c>
      <c r="AG224" s="0" t="n">
        <v>0.000233</v>
      </c>
      <c r="AH224" s="4" t="b">
        <f aca="false">FALSE()</f>
        <v>0</v>
      </c>
      <c r="AJ224" s="4" t="b">
        <f aca="false">FALSE()</f>
        <v>0</v>
      </c>
      <c r="AK224" s="4" t="b">
        <f aca="false">FALSE()</f>
        <v>0</v>
      </c>
      <c r="AL224" s="0" t="s">
        <v>999</v>
      </c>
      <c r="AM224" s="0" t="n">
        <v>2.4687</v>
      </c>
      <c r="AN224" s="0" t="n">
        <v>-2.3935</v>
      </c>
      <c r="AO224" s="0" t="n">
        <v>5.0127</v>
      </c>
      <c r="AP224" s="0" t="n">
        <v>-4.7117</v>
      </c>
      <c r="AQ224" s="0" t="n">
        <v>10.3263</v>
      </c>
      <c r="AR224" s="0" t="n">
        <v>-9.1226</v>
      </c>
    </row>
    <row r="225" customFormat="false" ht="15" hidden="false" customHeight="false" outlineLevel="0" collapsed="false">
      <c r="A225" s="0" t="s">
        <v>1008</v>
      </c>
      <c r="B225" s="0" t="s">
        <v>1009</v>
      </c>
      <c r="C225" s="0" t="s">
        <v>995</v>
      </c>
      <c r="D225" s="0" t="s">
        <v>59</v>
      </c>
      <c r="E225" s="0" t="s">
        <v>60</v>
      </c>
      <c r="F225" s="0" t="s">
        <v>996</v>
      </c>
      <c r="G225" s="0" t="n">
        <v>100</v>
      </c>
      <c r="H225" s="0" t="n">
        <v>0.0221</v>
      </c>
      <c r="I225" s="0" t="n">
        <v>2</v>
      </c>
      <c r="J225" s="0" t="s">
        <v>62</v>
      </c>
      <c r="K225" s="0" t="s">
        <v>1010</v>
      </c>
      <c r="L225" s="0" t="s">
        <v>1011</v>
      </c>
      <c r="M225" s="0" t="s">
        <v>65</v>
      </c>
      <c r="N225" s="0" t="n">
        <v>8.4846</v>
      </c>
      <c r="O225" s="0" t="n">
        <v>14</v>
      </c>
      <c r="P225" s="0" t="n">
        <v>0.0391</v>
      </c>
      <c r="Q225" s="0" t="n">
        <v>88.4177</v>
      </c>
      <c r="R225" s="0" t="n">
        <v>0.2888</v>
      </c>
      <c r="S225" s="0" t="n">
        <v>88.9201</v>
      </c>
      <c r="T225" s="0" t="n">
        <v>7.3264</v>
      </c>
      <c r="U225" s="0" t="n">
        <v>7.1859</v>
      </c>
      <c r="V225" s="0" t="n">
        <v>58.1545</v>
      </c>
      <c r="W225" s="0" t="n">
        <v>0.0635</v>
      </c>
      <c r="X225" s="0" t="n">
        <v>7.1859</v>
      </c>
      <c r="Y225" s="0" t="n">
        <v>58.1545</v>
      </c>
      <c r="Z225" s="0" t="n">
        <v>0</v>
      </c>
      <c r="AA225" s="0" t="n">
        <v>0</v>
      </c>
      <c r="AB225" s="0" t="n">
        <v>8</v>
      </c>
      <c r="AC225" s="0" t="s">
        <v>210</v>
      </c>
      <c r="AD225" s="0" t="n">
        <v>100</v>
      </c>
      <c r="AE225" s="0" t="n">
        <v>88.42</v>
      </c>
      <c r="AF225" s="0" t="n">
        <v>7383.07</v>
      </c>
      <c r="AG225" s="0" t="n">
        <v>0.00023</v>
      </c>
      <c r="AH225" s="4" t="b">
        <f aca="false">FALSE()</f>
        <v>0</v>
      </c>
      <c r="AJ225" s="4" t="b">
        <f aca="false">FALSE()</f>
        <v>0</v>
      </c>
      <c r="AK225" s="4" t="b">
        <f aca="false">FALSE()</f>
        <v>0</v>
      </c>
      <c r="AL225" s="0" t="s">
        <v>999</v>
      </c>
      <c r="AM225" s="0" t="n">
        <v>3.2411</v>
      </c>
      <c r="AN225" s="0" t="n">
        <v>-3.1125</v>
      </c>
      <c r="AO225" s="0" t="n">
        <v>6.6107</v>
      </c>
      <c r="AP225" s="0" t="n">
        <v>-6.0965</v>
      </c>
      <c r="AQ225" s="0" t="n">
        <v>13.7356</v>
      </c>
      <c r="AR225" s="0" t="n">
        <v>-11.6788</v>
      </c>
    </row>
    <row r="226" customFormat="false" ht="15" hidden="false" customHeight="false" outlineLevel="0" collapsed="false">
      <c r="A226" s="0" t="s">
        <v>1012</v>
      </c>
      <c r="B226" s="0" t="s">
        <v>1013</v>
      </c>
      <c r="C226" s="0" t="s">
        <v>995</v>
      </c>
      <c r="D226" s="0" t="s">
        <v>59</v>
      </c>
      <c r="E226" s="0" t="s">
        <v>60</v>
      </c>
      <c r="F226" s="0" t="s">
        <v>996</v>
      </c>
      <c r="G226" s="0" t="n">
        <v>100</v>
      </c>
      <c r="H226" s="0" t="n">
        <v>0.0426</v>
      </c>
      <c r="I226" s="0" t="n">
        <v>2</v>
      </c>
      <c r="J226" s="0" t="s">
        <v>62</v>
      </c>
      <c r="K226" s="0" t="s">
        <v>1014</v>
      </c>
      <c r="L226" s="0" t="s">
        <v>1015</v>
      </c>
      <c r="M226" s="0" t="s">
        <v>65</v>
      </c>
      <c r="N226" s="0" t="n">
        <v>2.0534</v>
      </c>
      <c r="O226" s="0" t="n">
        <v>4</v>
      </c>
      <c r="P226" s="0" t="n">
        <v>0.0393</v>
      </c>
      <c r="Q226" s="0" t="n">
        <v>100.6288</v>
      </c>
      <c r="R226" s="0" t="n">
        <v>0.5743</v>
      </c>
      <c r="S226" s="0" t="n">
        <v>100.6301</v>
      </c>
      <c r="T226" s="0" t="n">
        <v>1.9385</v>
      </c>
      <c r="U226" s="0" t="n">
        <v>1.9011</v>
      </c>
      <c r="V226" s="0" t="n">
        <v>4.6123</v>
      </c>
      <c r="W226" s="0" t="n">
        <v>0.0191</v>
      </c>
      <c r="X226" s="0" t="n">
        <v>1.9011</v>
      </c>
      <c r="Y226" s="0" t="n">
        <v>4.6123</v>
      </c>
      <c r="Z226" s="0" t="n">
        <v>0</v>
      </c>
      <c r="AA226" s="0" t="n">
        <v>0</v>
      </c>
      <c r="AB226" s="0" t="n">
        <v>8</v>
      </c>
      <c r="AC226" s="0" t="s">
        <v>66</v>
      </c>
      <c r="AD226" s="0" t="n">
        <v>1000</v>
      </c>
      <c r="AE226" s="0" t="n">
        <v>1006.29</v>
      </c>
      <c r="AF226" s="0" t="n">
        <v>84025.21</v>
      </c>
      <c r="AG226" s="0" t="n">
        <v>0.002621</v>
      </c>
      <c r="AH226" s="4" t="b">
        <f aca="false">FALSE()</f>
        <v>0</v>
      </c>
      <c r="AJ226" s="4" t="b">
        <f aca="false">FALSE()</f>
        <v>0</v>
      </c>
      <c r="AK226" s="4" t="b">
        <f aca="false">FALSE()</f>
        <v>0</v>
      </c>
      <c r="AL226" s="0" t="s">
        <v>999</v>
      </c>
      <c r="AM226" s="0" t="n">
        <v>0.9623</v>
      </c>
      <c r="AN226" s="0" t="n">
        <v>-0.9507</v>
      </c>
      <c r="AO226" s="0" t="n">
        <v>1.9363</v>
      </c>
      <c r="AP226" s="0" t="n">
        <v>-1.8898</v>
      </c>
      <c r="AQ226" s="0" t="n">
        <v>3.9189</v>
      </c>
      <c r="AR226" s="0" t="n">
        <v>-3.7333</v>
      </c>
    </row>
    <row r="227" customFormat="false" ht="15" hidden="false" customHeight="false" outlineLevel="0" collapsed="false">
      <c r="A227" s="0" t="s">
        <v>1016</v>
      </c>
      <c r="B227" s="0" t="s">
        <v>1017</v>
      </c>
      <c r="C227" s="0" t="s">
        <v>995</v>
      </c>
      <c r="D227" s="0" t="s">
        <v>59</v>
      </c>
      <c r="E227" s="0" t="s">
        <v>60</v>
      </c>
      <c r="F227" s="0" t="s">
        <v>996</v>
      </c>
      <c r="G227" s="0" t="n">
        <v>100</v>
      </c>
      <c r="H227" s="0" t="n">
        <v>0.0377</v>
      </c>
      <c r="I227" s="0" t="n">
        <v>2</v>
      </c>
      <c r="J227" s="0" t="s">
        <v>62</v>
      </c>
      <c r="K227" s="0" t="s">
        <v>1018</v>
      </c>
      <c r="L227" s="0" t="s">
        <v>1019</v>
      </c>
      <c r="M227" s="0" t="s">
        <v>65</v>
      </c>
      <c r="N227" s="0" t="n">
        <v>11.3292</v>
      </c>
      <c r="O227" s="0" t="n">
        <v>25</v>
      </c>
      <c r="P227" s="0" t="n">
        <v>0.0464</v>
      </c>
      <c r="Q227" s="0" t="n">
        <v>92.5706</v>
      </c>
      <c r="R227" s="0" t="n">
        <v>0.0921</v>
      </c>
      <c r="S227" s="0" t="n">
        <v>92.6968</v>
      </c>
      <c r="T227" s="0" t="n">
        <v>9.0143</v>
      </c>
      <c r="U227" s="0" t="n">
        <v>8.8099</v>
      </c>
      <c r="V227" s="0" t="n">
        <v>92.2834</v>
      </c>
      <c r="W227" s="0" t="n">
        <v>0.0816</v>
      </c>
      <c r="X227" s="0" t="n">
        <v>8.8099</v>
      </c>
      <c r="Y227" s="0" t="n">
        <v>92.2834</v>
      </c>
      <c r="Z227" s="0" t="n">
        <v>0</v>
      </c>
      <c r="AA227" s="0" t="n">
        <v>0</v>
      </c>
      <c r="AB227" s="0" t="n">
        <v>10</v>
      </c>
      <c r="AC227" s="0" t="s">
        <v>152</v>
      </c>
      <c r="AD227" s="0" t="n">
        <v>1000</v>
      </c>
      <c r="AE227" s="0" t="n">
        <v>925.71</v>
      </c>
      <c r="AF227" s="0" t="n">
        <v>77296.79</v>
      </c>
      <c r="AG227" s="0" t="n">
        <v>0.002411</v>
      </c>
      <c r="AH227" s="4" t="b">
        <f aca="false">FALSE()</f>
        <v>0</v>
      </c>
      <c r="AJ227" s="4" t="b">
        <f aca="false">FALSE()</f>
        <v>0</v>
      </c>
      <c r="AK227" s="4" t="b">
        <f aca="false">FALSE()</f>
        <v>0</v>
      </c>
      <c r="AL227" s="0" t="s">
        <v>999</v>
      </c>
      <c r="AM227" s="0" t="n">
        <v>4.1845</v>
      </c>
      <c r="AN227" s="0" t="n">
        <v>-3.9709</v>
      </c>
      <c r="AO227" s="0" t="n">
        <v>8.5825</v>
      </c>
      <c r="AP227" s="0" t="n">
        <v>-7.7282</v>
      </c>
      <c r="AQ227" s="0" t="n">
        <v>18.0193</v>
      </c>
      <c r="AR227" s="0" t="n">
        <v>-14.6022</v>
      </c>
    </row>
    <row r="228" customFormat="false" ht="15" hidden="false" customHeight="false" outlineLevel="0" collapsed="false">
      <c r="A228" s="0" t="s">
        <v>1020</v>
      </c>
      <c r="B228" s="0" t="s">
        <v>1021</v>
      </c>
      <c r="C228" s="0" t="s">
        <v>995</v>
      </c>
      <c r="D228" s="0" t="s">
        <v>59</v>
      </c>
      <c r="E228" s="0" t="s">
        <v>60</v>
      </c>
      <c r="F228" s="0" t="s">
        <v>996</v>
      </c>
      <c r="G228" s="0" t="n">
        <v>100</v>
      </c>
      <c r="H228" s="0" t="n">
        <v>0.0373</v>
      </c>
      <c r="I228" s="0" t="n">
        <v>2</v>
      </c>
      <c r="J228" s="0" t="s">
        <v>62</v>
      </c>
      <c r="K228" s="0" t="s">
        <v>1022</v>
      </c>
      <c r="L228" s="0" t="s">
        <v>1023</v>
      </c>
      <c r="M228" s="0" t="s">
        <v>65</v>
      </c>
      <c r="N228" s="0" t="n">
        <v>2.4203</v>
      </c>
      <c r="O228" s="0" t="n">
        <v>5</v>
      </c>
      <c r="P228" s="0" t="n">
        <v>0.0418</v>
      </c>
      <c r="Q228" s="0" t="n">
        <v>99.1451</v>
      </c>
      <c r="R228" s="0" t="n">
        <v>0.6413</v>
      </c>
      <c r="S228" s="0" t="n">
        <v>99.4397</v>
      </c>
      <c r="T228" s="0" t="n">
        <v>1.9455</v>
      </c>
      <c r="U228" s="0" t="n">
        <v>1.9057</v>
      </c>
      <c r="V228" s="0" t="n">
        <v>4.6233</v>
      </c>
      <c r="W228" s="0" t="n">
        <v>0.0189</v>
      </c>
      <c r="X228" s="0" t="n">
        <v>1.9057</v>
      </c>
      <c r="Y228" s="0" t="n">
        <v>4.6233</v>
      </c>
      <c r="Z228" s="0" t="n">
        <v>0</v>
      </c>
      <c r="AA228" s="0" t="n">
        <v>0</v>
      </c>
      <c r="AB228" s="0" t="n">
        <v>6</v>
      </c>
      <c r="AC228" s="0" t="s">
        <v>66</v>
      </c>
      <c r="AD228" s="0" t="n">
        <v>100</v>
      </c>
      <c r="AE228" s="0" t="n">
        <v>99.15</v>
      </c>
      <c r="AF228" s="0" t="n">
        <v>8279.02</v>
      </c>
      <c r="AG228" s="0" t="n">
        <v>0.000258</v>
      </c>
      <c r="AH228" s="4" t="b">
        <f aca="false">FALSE()</f>
        <v>0</v>
      </c>
      <c r="AJ228" s="4" t="b">
        <f aca="false">FALSE()</f>
        <v>0</v>
      </c>
      <c r="AK228" s="4" t="b">
        <f aca="false">FALSE()</f>
        <v>0</v>
      </c>
      <c r="AL228" s="0" t="s">
        <v>999</v>
      </c>
      <c r="AM228" s="0" t="n">
        <v>0.9504</v>
      </c>
      <c r="AN228" s="0" t="n">
        <v>-0.939</v>
      </c>
      <c r="AO228" s="0" t="n">
        <v>1.9123</v>
      </c>
      <c r="AP228" s="0" t="n">
        <v>-1.8665</v>
      </c>
      <c r="AQ228" s="0" t="n">
        <v>3.8705</v>
      </c>
      <c r="AR228" s="0" t="n">
        <v>-3.6871</v>
      </c>
    </row>
    <row r="229" customFormat="false" ht="15" hidden="false" customHeight="false" outlineLevel="0" collapsed="false">
      <c r="A229" s="0" t="s">
        <v>1024</v>
      </c>
      <c r="B229" s="0" t="s">
        <v>1025</v>
      </c>
      <c r="C229" s="0" t="s">
        <v>995</v>
      </c>
      <c r="D229" s="0" t="s">
        <v>59</v>
      </c>
      <c r="E229" s="0" t="s">
        <v>60</v>
      </c>
      <c r="F229" s="0" t="s">
        <v>996</v>
      </c>
      <c r="G229" s="0" t="n">
        <v>100</v>
      </c>
      <c r="H229" s="0" t="n">
        <v>0.0384</v>
      </c>
      <c r="I229" s="0" t="n">
        <v>2</v>
      </c>
      <c r="J229" s="0" t="s">
        <v>62</v>
      </c>
      <c r="K229" s="0" t="s">
        <v>1026</v>
      </c>
      <c r="L229" s="0" t="s">
        <v>1027</v>
      </c>
      <c r="M229" s="0" t="s">
        <v>65</v>
      </c>
      <c r="N229" s="0" t="n">
        <v>16.7255</v>
      </c>
      <c r="O229" s="0" t="n">
        <v>23</v>
      </c>
      <c r="P229" s="0" t="n">
        <v>0.04</v>
      </c>
      <c r="Q229" s="0" t="n">
        <v>98.0809</v>
      </c>
      <c r="R229" s="0" t="n">
        <v>0.7524</v>
      </c>
      <c r="S229" s="0" t="n">
        <v>98.5441</v>
      </c>
      <c r="T229" s="0" t="n">
        <v>12.3247</v>
      </c>
      <c r="U229" s="0" t="n">
        <v>12.083</v>
      </c>
      <c r="V229" s="0" t="n">
        <v>180.8645</v>
      </c>
      <c r="W229" s="0" t="n">
        <v>0.1185</v>
      </c>
      <c r="X229" s="0" t="n">
        <v>12.083</v>
      </c>
      <c r="Y229" s="0" t="n">
        <v>180.8645</v>
      </c>
      <c r="Z229" s="0" t="n">
        <v>0</v>
      </c>
      <c r="AA229" s="0" t="n">
        <v>0</v>
      </c>
      <c r="AB229" s="0" t="n">
        <v>6</v>
      </c>
      <c r="AC229" s="0" t="s">
        <v>86</v>
      </c>
      <c r="AD229" s="0" t="n">
        <v>1000</v>
      </c>
      <c r="AE229" s="0" t="n">
        <v>980.81</v>
      </c>
      <c r="AF229" s="0" t="n">
        <v>81897.63</v>
      </c>
      <c r="AG229" s="0" t="n">
        <v>0.002555</v>
      </c>
      <c r="AH229" s="4" t="b">
        <f aca="false">FALSE()</f>
        <v>0</v>
      </c>
      <c r="AJ229" s="4" t="b">
        <f aca="false">FALSE()</f>
        <v>0</v>
      </c>
      <c r="AK229" s="4" t="b">
        <f aca="false">FALSE()</f>
        <v>0</v>
      </c>
      <c r="AL229" s="0" t="s">
        <v>999</v>
      </c>
      <c r="AM229" s="0" t="n">
        <v>6.1473</v>
      </c>
      <c r="AN229" s="0" t="n">
        <v>-5.7038</v>
      </c>
      <c r="AO229" s="0" t="n">
        <v>12.7381</v>
      </c>
      <c r="AP229" s="0" t="n">
        <v>-10.9641</v>
      </c>
      <c r="AQ229" s="0" t="n">
        <v>27.2501</v>
      </c>
      <c r="AR229" s="0" t="n">
        <v>-20.1544</v>
      </c>
    </row>
    <row r="230" customFormat="false" ht="15" hidden="false" customHeight="false" outlineLevel="0" collapsed="false">
      <c r="A230" s="0" t="s">
        <v>1028</v>
      </c>
      <c r="B230" s="0" t="s">
        <v>1029</v>
      </c>
      <c r="C230" s="0" t="s">
        <v>995</v>
      </c>
      <c r="D230" s="0" t="s">
        <v>59</v>
      </c>
      <c r="E230" s="0" t="s">
        <v>60</v>
      </c>
      <c r="F230" s="0" t="s">
        <v>996</v>
      </c>
      <c r="G230" s="0" t="n">
        <v>100</v>
      </c>
      <c r="H230" s="0" t="n">
        <v>0.0424</v>
      </c>
      <c r="I230" s="0" t="n">
        <v>2</v>
      </c>
      <c r="J230" s="0" t="s">
        <v>62</v>
      </c>
      <c r="K230" s="0" t="s">
        <v>1030</v>
      </c>
      <c r="L230" s="0" t="s">
        <v>1031</v>
      </c>
      <c r="M230" s="0" t="s">
        <v>65</v>
      </c>
      <c r="N230" s="0" t="n">
        <v>4.1424</v>
      </c>
      <c r="O230" s="0" t="n">
        <v>16</v>
      </c>
      <c r="P230" s="0" t="n">
        <v>0.0475</v>
      </c>
      <c r="Q230" s="0" t="n">
        <v>98.1618</v>
      </c>
      <c r="R230" s="0" t="n">
        <v>0.2273</v>
      </c>
      <c r="S230" s="0" t="n">
        <v>98.5864</v>
      </c>
      <c r="T230" s="0" t="n">
        <v>3.718</v>
      </c>
      <c r="U230" s="0" t="n">
        <v>3.6317</v>
      </c>
      <c r="V230" s="0" t="n">
        <v>15.5693</v>
      </c>
      <c r="W230" s="0" t="n">
        <v>0.0356</v>
      </c>
      <c r="X230" s="0" t="n">
        <v>3.6317</v>
      </c>
      <c r="Y230" s="0" t="n">
        <v>15.5693</v>
      </c>
      <c r="Z230" s="0" t="n">
        <v>0</v>
      </c>
      <c r="AA230" s="0" t="n">
        <v>0</v>
      </c>
      <c r="AB230" s="0" t="n">
        <v>5</v>
      </c>
      <c r="AC230" s="0" t="s">
        <v>230</v>
      </c>
      <c r="AD230" s="0" t="n">
        <v>50</v>
      </c>
      <c r="AE230" s="0" t="n">
        <v>49.08</v>
      </c>
      <c r="AF230" s="0" t="n">
        <v>4098.18</v>
      </c>
      <c r="AG230" s="0" t="n">
        <v>0.000128</v>
      </c>
      <c r="AH230" s="4" t="b">
        <f aca="false">FALSE()</f>
        <v>0</v>
      </c>
      <c r="AJ230" s="4" t="b">
        <f aca="false">FALSE()</f>
        <v>0</v>
      </c>
      <c r="AK230" s="4" t="b">
        <f aca="false">FALSE()</f>
        <v>0</v>
      </c>
      <c r="AL230" s="0" t="s">
        <v>999</v>
      </c>
      <c r="AM230" s="0" t="n">
        <v>1.8016</v>
      </c>
      <c r="AN230" s="0" t="n">
        <v>-1.7634</v>
      </c>
      <c r="AO230" s="0" t="n">
        <v>3.6414</v>
      </c>
      <c r="AP230" s="0" t="n">
        <v>-3.4885</v>
      </c>
      <c r="AQ230" s="0" t="n">
        <v>7.4355</v>
      </c>
      <c r="AR230" s="0" t="n">
        <v>-6.8242</v>
      </c>
    </row>
    <row r="231" customFormat="false" ht="15" hidden="false" customHeight="false" outlineLevel="0" collapsed="false">
      <c r="A231" s="0" t="s">
        <v>1032</v>
      </c>
      <c r="B231" s="0" t="s">
        <v>1033</v>
      </c>
      <c r="C231" s="0" t="s">
        <v>995</v>
      </c>
      <c r="D231" s="0" t="s">
        <v>59</v>
      </c>
      <c r="E231" s="0" t="s">
        <v>60</v>
      </c>
      <c r="F231" s="0" t="s">
        <v>996</v>
      </c>
      <c r="G231" s="0" t="n">
        <v>100</v>
      </c>
      <c r="H231" s="0" t="n">
        <v>0.0331</v>
      </c>
      <c r="I231" s="0" t="n">
        <v>2</v>
      </c>
      <c r="J231" s="0" t="s">
        <v>62</v>
      </c>
      <c r="K231" s="0" t="s">
        <v>1034</v>
      </c>
      <c r="L231" s="0" t="s">
        <v>1035</v>
      </c>
      <c r="M231" s="0" t="s">
        <v>65</v>
      </c>
      <c r="N231" s="0" t="n">
        <v>2.7105</v>
      </c>
      <c r="O231" s="0" t="n">
        <v>4</v>
      </c>
      <c r="P231" s="0" t="n">
        <v>0.0417</v>
      </c>
      <c r="Q231" s="0" t="n">
        <v>97.9782</v>
      </c>
      <c r="R231" s="0" t="n">
        <v>0.0312</v>
      </c>
      <c r="S231" s="0" t="n">
        <v>98.2962</v>
      </c>
      <c r="T231" s="0" t="n">
        <v>2.4189</v>
      </c>
      <c r="U231" s="0" t="n">
        <v>2.3695</v>
      </c>
      <c r="V231" s="0" t="n">
        <v>6.8864</v>
      </c>
      <c r="W231" s="0" t="n">
        <v>0.0232</v>
      </c>
      <c r="X231" s="0" t="n">
        <v>2.3695</v>
      </c>
      <c r="Y231" s="0" t="n">
        <v>6.8864</v>
      </c>
      <c r="Z231" s="0" t="n">
        <v>0</v>
      </c>
      <c r="AA231" s="0" t="n">
        <v>0</v>
      </c>
      <c r="AB231" s="0" t="n">
        <v>7</v>
      </c>
      <c r="AC231" s="0" t="s">
        <v>66</v>
      </c>
      <c r="AD231" s="0" t="n">
        <v>1000</v>
      </c>
      <c r="AE231" s="0" t="n">
        <v>979.78</v>
      </c>
      <c r="AF231" s="0" t="n">
        <v>81811.63</v>
      </c>
      <c r="AG231" s="0" t="n">
        <v>0.002552</v>
      </c>
      <c r="AH231" s="4" t="b">
        <f aca="false">FALSE()</f>
        <v>0</v>
      </c>
      <c r="AJ231" s="4" t="b">
        <f aca="false">FALSE()</f>
        <v>0</v>
      </c>
      <c r="AK231" s="4" t="b">
        <f aca="false">FALSE()</f>
        <v>0</v>
      </c>
      <c r="AL231" s="0" t="s">
        <v>999</v>
      </c>
      <c r="AM231" s="0" t="n">
        <v>1.1692</v>
      </c>
      <c r="AN231" s="0" t="n">
        <v>-1.1524</v>
      </c>
      <c r="AO231" s="0" t="n">
        <v>2.3553</v>
      </c>
      <c r="AP231" s="0" t="n">
        <v>-2.2879</v>
      </c>
      <c r="AQ231" s="0" t="n">
        <v>4.7781</v>
      </c>
      <c r="AR231" s="0" t="n">
        <v>-4.5082</v>
      </c>
    </row>
    <row r="232" customFormat="false" ht="15" hidden="false" customHeight="false" outlineLevel="0" collapsed="false">
      <c r="A232" s="0" t="s">
        <v>1036</v>
      </c>
      <c r="B232" s="0" t="s">
        <v>1037</v>
      </c>
      <c r="C232" s="0" t="s">
        <v>995</v>
      </c>
      <c r="D232" s="0" t="s">
        <v>59</v>
      </c>
      <c r="E232" s="0" t="s">
        <v>60</v>
      </c>
      <c r="F232" s="0" t="s">
        <v>996</v>
      </c>
      <c r="G232" s="0" t="n">
        <v>100</v>
      </c>
      <c r="H232" s="0" t="n">
        <v>0.0455</v>
      </c>
      <c r="I232" s="0" t="n">
        <v>2</v>
      </c>
      <c r="J232" s="0" t="s">
        <v>62</v>
      </c>
      <c r="K232" s="0" t="s">
        <v>1038</v>
      </c>
      <c r="L232" s="0" t="s">
        <v>1039</v>
      </c>
      <c r="M232" s="0" t="s">
        <v>65</v>
      </c>
      <c r="N232" s="0" t="n">
        <v>18.976</v>
      </c>
      <c r="O232" s="0" t="n">
        <v>27</v>
      </c>
      <c r="P232" s="0" t="n">
        <v>0.0399</v>
      </c>
      <c r="Q232" s="0" t="n">
        <v>107.2774</v>
      </c>
      <c r="R232" s="0" t="n">
        <v>0.6819</v>
      </c>
      <c r="S232" s="0" t="n">
        <v>107.8641</v>
      </c>
      <c r="T232" s="0" t="n">
        <v>12.9242</v>
      </c>
      <c r="U232" s="0" t="n">
        <v>12.6714</v>
      </c>
      <c r="V232" s="0" t="n">
        <v>205.8172</v>
      </c>
      <c r="W232" s="0" t="n">
        <v>0.1359</v>
      </c>
      <c r="X232" s="0" t="n">
        <v>12.6714</v>
      </c>
      <c r="Y232" s="0" t="n">
        <v>205.8172</v>
      </c>
      <c r="Z232" s="0" t="n">
        <v>0</v>
      </c>
      <c r="AA232" s="0" t="n">
        <v>0</v>
      </c>
      <c r="AB232" s="0" t="n">
        <v>2</v>
      </c>
      <c r="AC232" s="0" t="s">
        <v>86</v>
      </c>
      <c r="AD232" s="0" t="n">
        <v>5000</v>
      </c>
      <c r="AE232" s="0" t="n">
        <v>5363.87</v>
      </c>
      <c r="AF232" s="0" t="n">
        <v>447883.15</v>
      </c>
      <c r="AG232" s="0" t="n">
        <v>0.01397</v>
      </c>
      <c r="AH232" s="4" t="b">
        <f aca="false">FALSE()</f>
        <v>0</v>
      </c>
      <c r="AJ232" s="4" t="b">
        <f aca="false">FALSE()</f>
        <v>0</v>
      </c>
      <c r="AK232" s="4" t="b">
        <f aca="false">FALSE()</f>
        <v>0</v>
      </c>
      <c r="AL232" s="0" t="s">
        <v>999</v>
      </c>
      <c r="AM232" s="0" t="n">
        <v>7.0728</v>
      </c>
      <c r="AN232" s="0" t="n">
        <v>-6.5208</v>
      </c>
      <c r="AO232" s="0" t="n">
        <v>14.6975</v>
      </c>
      <c r="AP232" s="0" t="n">
        <v>-12.4896</v>
      </c>
      <c r="AQ232" s="0" t="n">
        <v>31.603</v>
      </c>
      <c r="AR232" s="0" t="n">
        <v>-22.7712</v>
      </c>
    </row>
    <row r="233" customFormat="false" ht="15" hidden="false" customHeight="false" outlineLevel="0" collapsed="false">
      <c r="A233" s="0" t="s">
        <v>1040</v>
      </c>
      <c r="B233" s="0" t="s">
        <v>1041</v>
      </c>
      <c r="C233" s="0" t="s">
        <v>995</v>
      </c>
      <c r="D233" s="0" t="s">
        <v>59</v>
      </c>
      <c r="E233" s="0" t="s">
        <v>60</v>
      </c>
      <c r="F233" s="0" t="s">
        <v>996</v>
      </c>
      <c r="G233" s="0" t="n">
        <v>100</v>
      </c>
      <c r="H233" s="0" t="n">
        <v>0.0306</v>
      </c>
      <c r="I233" s="0" t="n">
        <v>2</v>
      </c>
      <c r="J233" s="0" t="s">
        <v>62</v>
      </c>
      <c r="K233" s="0" t="s">
        <v>1042</v>
      </c>
      <c r="L233" s="0" t="s">
        <v>1043</v>
      </c>
      <c r="M233" s="0" t="s">
        <v>65</v>
      </c>
      <c r="N233" s="0" t="n">
        <v>8.2245</v>
      </c>
      <c r="O233" s="0" t="n">
        <v>14</v>
      </c>
      <c r="P233" s="0" t="n">
        <v>0.04</v>
      </c>
      <c r="Q233" s="0" t="n">
        <v>93.6185</v>
      </c>
      <c r="R233" s="0" t="n">
        <v>0.5637</v>
      </c>
      <c r="S233" s="0" t="n">
        <v>93.671</v>
      </c>
      <c r="T233" s="0" t="n">
        <v>7.1213</v>
      </c>
      <c r="U233" s="0" t="n">
        <v>6.9817</v>
      </c>
      <c r="V233" s="0" t="n">
        <v>55.8955</v>
      </c>
      <c r="W233" s="0" t="n">
        <v>0.0654</v>
      </c>
      <c r="X233" s="0" t="n">
        <v>6.9817</v>
      </c>
      <c r="Y233" s="0" t="n">
        <v>55.8955</v>
      </c>
      <c r="Z233" s="0" t="n">
        <v>0</v>
      </c>
      <c r="AA233" s="0" t="n">
        <v>0</v>
      </c>
      <c r="AB233" s="0" t="n">
        <v>-3</v>
      </c>
      <c r="AC233" s="0" t="s">
        <v>210</v>
      </c>
      <c r="AD233" s="0" t="n">
        <v>50</v>
      </c>
      <c r="AE233" s="0" t="n">
        <v>46.81</v>
      </c>
      <c r="AF233" s="0" t="n">
        <v>3908.64</v>
      </c>
      <c r="AG233" s="0" t="n">
        <v>0.000122</v>
      </c>
      <c r="AH233" s="4" t="b">
        <f aca="false">FALSE()</f>
        <v>0</v>
      </c>
      <c r="AJ233" s="4" t="b">
        <f aca="false">FALSE()</f>
        <v>0</v>
      </c>
      <c r="AK233" s="4" t="b">
        <f aca="false">FALSE()</f>
        <v>0</v>
      </c>
      <c r="AL233" s="0" t="s">
        <v>999</v>
      </c>
      <c r="AM233" s="0" t="n">
        <v>3.3335</v>
      </c>
      <c r="AN233" s="0" t="n">
        <v>-3.2027</v>
      </c>
      <c r="AO233" s="0" t="n">
        <v>6.7978</v>
      </c>
      <c r="AP233" s="0" t="n">
        <v>-6.2745</v>
      </c>
      <c r="AQ233" s="0" t="n">
        <v>14.1189</v>
      </c>
      <c r="AR233" s="0" t="n">
        <v>-12.0258</v>
      </c>
    </row>
    <row r="234" customFormat="false" ht="15" hidden="false" customHeight="false" outlineLevel="0" collapsed="false">
      <c r="A234" s="0" t="s">
        <v>1044</v>
      </c>
      <c r="B234" s="0" t="s">
        <v>1045</v>
      </c>
      <c r="C234" s="0" t="s">
        <v>995</v>
      </c>
      <c r="D234" s="0" t="s">
        <v>59</v>
      </c>
      <c r="E234" s="0" t="s">
        <v>60</v>
      </c>
      <c r="F234" s="0" t="s">
        <v>996</v>
      </c>
      <c r="G234" s="0" t="n">
        <v>100</v>
      </c>
      <c r="H234" s="0" t="n">
        <v>0.0336</v>
      </c>
      <c r="I234" s="0" t="n">
        <v>2</v>
      </c>
      <c r="J234" s="0" t="s">
        <v>62</v>
      </c>
      <c r="K234" s="0" t="s">
        <v>1046</v>
      </c>
      <c r="L234" s="0" t="s">
        <v>1047</v>
      </c>
      <c r="M234" s="0" t="s">
        <v>65</v>
      </c>
      <c r="N234" s="0" t="n">
        <v>6.0233</v>
      </c>
      <c r="O234" s="0" t="n">
        <v>14</v>
      </c>
      <c r="P234" s="0" t="n">
        <v>0.0406</v>
      </c>
      <c r="Q234" s="0" t="n">
        <v>96.3054</v>
      </c>
      <c r="R234" s="0" t="n">
        <v>0.4252</v>
      </c>
      <c r="S234" s="0" t="n">
        <v>96.7746</v>
      </c>
      <c r="T234" s="0" t="n">
        <v>5.4716</v>
      </c>
      <c r="U234" s="0" t="n">
        <v>5.3627</v>
      </c>
      <c r="V234" s="0" t="n">
        <v>33.1006</v>
      </c>
      <c r="W234" s="0" t="n">
        <v>0.0516</v>
      </c>
      <c r="X234" s="0" t="n">
        <v>5.3627</v>
      </c>
      <c r="Y234" s="0" t="n">
        <v>33.1006</v>
      </c>
      <c r="Z234" s="0" t="n">
        <v>0</v>
      </c>
      <c r="AA234" s="0" t="n">
        <v>0</v>
      </c>
      <c r="AB234" s="0" t="n">
        <v>4</v>
      </c>
      <c r="AC234" s="0" t="s">
        <v>77</v>
      </c>
      <c r="AD234" s="0" t="n">
        <v>500</v>
      </c>
      <c r="AE234" s="0" t="n">
        <v>481.53</v>
      </c>
      <c r="AF234" s="0" t="n">
        <v>40207.75</v>
      </c>
      <c r="AG234" s="0" t="n">
        <v>0.001254</v>
      </c>
      <c r="AH234" s="4" t="b">
        <f aca="false">FALSE()</f>
        <v>0</v>
      </c>
      <c r="AJ234" s="4" t="b">
        <f aca="false">FALSE()</f>
        <v>0</v>
      </c>
      <c r="AK234" s="4" t="b">
        <f aca="false">FALSE()</f>
        <v>0</v>
      </c>
      <c r="AL234" s="0" t="s">
        <v>999</v>
      </c>
      <c r="AM234" s="0" t="n">
        <v>2.6221</v>
      </c>
      <c r="AN234" s="0" t="n">
        <v>-2.5424</v>
      </c>
      <c r="AO234" s="0" t="n">
        <v>5.324</v>
      </c>
      <c r="AP234" s="0" t="n">
        <v>-5.0052</v>
      </c>
      <c r="AQ234" s="0" t="n">
        <v>10.9667</v>
      </c>
      <c r="AR234" s="0" t="n">
        <v>-9.6916</v>
      </c>
    </row>
    <row r="235" customFormat="false" ht="15" hidden="false" customHeight="false" outlineLevel="0" collapsed="false">
      <c r="A235" s="0" t="s">
        <v>1048</v>
      </c>
      <c r="B235" s="0" t="s">
        <v>1049</v>
      </c>
      <c r="C235" s="0" t="s">
        <v>995</v>
      </c>
      <c r="D235" s="0" t="s">
        <v>59</v>
      </c>
      <c r="E235" s="0" t="s">
        <v>60</v>
      </c>
      <c r="F235" s="0" t="s">
        <v>996</v>
      </c>
      <c r="G235" s="0" t="n">
        <v>100</v>
      </c>
      <c r="H235" s="0" t="n">
        <v>0.0345</v>
      </c>
      <c r="I235" s="0" t="n">
        <v>2</v>
      </c>
      <c r="J235" s="0" t="s">
        <v>62</v>
      </c>
      <c r="K235" s="0" t="s">
        <v>1050</v>
      </c>
      <c r="L235" s="0" t="s">
        <v>1051</v>
      </c>
      <c r="M235" s="0" t="s">
        <v>65</v>
      </c>
      <c r="N235" s="0" t="n">
        <v>2.4394</v>
      </c>
      <c r="O235" s="0" t="n">
        <v>9</v>
      </c>
      <c r="P235" s="0" t="n">
        <v>0.0476</v>
      </c>
      <c r="Q235" s="0" t="n">
        <v>97.5288</v>
      </c>
      <c r="R235" s="0" t="n">
        <v>0.5879</v>
      </c>
      <c r="S235" s="0" t="n">
        <v>98.3021</v>
      </c>
      <c r="T235" s="0" t="n">
        <v>1.949</v>
      </c>
      <c r="U235" s="0" t="n">
        <v>1.9037</v>
      </c>
      <c r="V235" s="0" t="n">
        <v>4.6083</v>
      </c>
      <c r="W235" s="0" t="n">
        <v>0.0186</v>
      </c>
      <c r="X235" s="0" t="n">
        <v>1.9037</v>
      </c>
      <c r="Y235" s="0" t="n">
        <v>4.6083</v>
      </c>
      <c r="Z235" s="0" t="n">
        <v>0</v>
      </c>
      <c r="AA235" s="0" t="n">
        <v>0</v>
      </c>
      <c r="AB235" s="0" t="n">
        <v>-5</v>
      </c>
      <c r="AC235" s="0" t="s">
        <v>66</v>
      </c>
      <c r="AD235" s="0" t="n">
        <v>500</v>
      </c>
      <c r="AE235" s="0" t="n">
        <v>487.64</v>
      </c>
      <c r="AF235" s="0" t="n">
        <v>40717.94</v>
      </c>
      <c r="AG235" s="0" t="n">
        <v>0.00127</v>
      </c>
      <c r="AH235" s="4" t="b">
        <f aca="false">FALSE()</f>
        <v>0</v>
      </c>
      <c r="AJ235" s="4" t="b">
        <f aca="false">FALSE()</f>
        <v>0</v>
      </c>
      <c r="AK235" s="4" t="b">
        <f aca="false">FALSE()</f>
        <v>0</v>
      </c>
      <c r="AL235" s="0" t="s">
        <v>999</v>
      </c>
      <c r="AM235" s="0" t="n">
        <v>0.9339</v>
      </c>
      <c r="AN235" s="0" t="n">
        <v>-0.9227</v>
      </c>
      <c r="AO235" s="0" t="n">
        <v>1.8791</v>
      </c>
      <c r="AP235" s="0" t="n">
        <v>-1.8342</v>
      </c>
      <c r="AQ235" s="0" t="n">
        <v>3.8032</v>
      </c>
      <c r="AR235" s="0" t="n">
        <v>-3.6234</v>
      </c>
    </row>
    <row r="236" customFormat="false" ht="15" hidden="false" customHeight="false" outlineLevel="0" collapsed="false">
      <c r="A236" s="0" t="s">
        <v>1052</v>
      </c>
      <c r="B236" s="0" t="s">
        <v>1053</v>
      </c>
      <c r="C236" s="0" t="s">
        <v>995</v>
      </c>
      <c r="D236" s="0" t="s">
        <v>59</v>
      </c>
      <c r="E236" s="0" t="s">
        <v>60</v>
      </c>
      <c r="F236" s="0" t="s">
        <v>996</v>
      </c>
      <c r="G236" s="0" t="n">
        <v>100</v>
      </c>
      <c r="H236" s="0" t="n">
        <v>0.0355</v>
      </c>
      <c r="I236" s="0" t="n">
        <v>2</v>
      </c>
      <c r="J236" s="0" t="s">
        <v>62</v>
      </c>
      <c r="K236" s="0" t="s">
        <v>1054</v>
      </c>
      <c r="L236" s="0" t="s">
        <v>1055</v>
      </c>
      <c r="M236" s="0" t="s">
        <v>65</v>
      </c>
      <c r="N236" s="0" t="n">
        <v>0.7995</v>
      </c>
      <c r="O236" s="0" t="n">
        <v>2</v>
      </c>
      <c r="P236" s="0" t="n">
        <v>0.0406</v>
      </c>
      <c r="Q236" s="0" t="n">
        <v>99.7501</v>
      </c>
      <c r="R236" s="0" t="n">
        <v>0.0825</v>
      </c>
      <c r="S236" s="0" t="n">
        <v>100.348</v>
      </c>
      <c r="T236" s="0" t="n">
        <v>0.5</v>
      </c>
      <c r="U236" s="0" t="n">
        <v>0.4901</v>
      </c>
      <c r="V236" s="0" t="n">
        <v>0.4803</v>
      </c>
      <c r="W236" s="0" t="n">
        <v>0.0049</v>
      </c>
      <c r="X236" s="0" t="n">
        <v>0.4901</v>
      </c>
      <c r="Y236" s="0" t="n">
        <v>0.4803</v>
      </c>
      <c r="Z236" s="0" t="n">
        <v>0</v>
      </c>
      <c r="AA236" s="0" t="n">
        <v>0</v>
      </c>
      <c r="AB236" s="0" t="n">
        <v>5</v>
      </c>
      <c r="AC236" s="0" t="s">
        <v>173</v>
      </c>
      <c r="AD236" s="0" t="n">
        <v>200</v>
      </c>
      <c r="AE236" s="0" t="n">
        <v>199.5</v>
      </c>
      <c r="AF236" s="0" t="n">
        <v>16658.25</v>
      </c>
      <c r="AG236" s="0" t="n">
        <v>0.00052</v>
      </c>
      <c r="AH236" s="4" t="b">
        <f aca="false">FALSE()</f>
        <v>0</v>
      </c>
      <c r="AJ236" s="4" t="b">
        <f aca="false">FALSE()</f>
        <v>0</v>
      </c>
      <c r="AK236" s="4" t="b">
        <f aca="false">FALSE()</f>
        <v>0</v>
      </c>
      <c r="AL236" s="0" t="s">
        <v>999</v>
      </c>
      <c r="AM236" s="0" t="n">
        <v>0.245</v>
      </c>
      <c r="AN236" s="0" t="n">
        <v>-0.2438</v>
      </c>
      <c r="AO236" s="0" t="n">
        <v>0.4913</v>
      </c>
      <c r="AP236" s="0" t="n">
        <v>-0.4865</v>
      </c>
      <c r="AQ236" s="0" t="n">
        <v>0.9873</v>
      </c>
      <c r="AR236" s="0" t="n">
        <v>-0.9682</v>
      </c>
    </row>
    <row r="237" customFormat="false" ht="15" hidden="false" customHeight="false" outlineLevel="0" collapsed="false">
      <c r="A237" s="0" t="s">
        <v>1056</v>
      </c>
      <c r="B237" s="0" t="s">
        <v>1057</v>
      </c>
      <c r="C237" s="0" t="s">
        <v>995</v>
      </c>
      <c r="D237" s="0" t="s">
        <v>59</v>
      </c>
      <c r="E237" s="0" t="s">
        <v>60</v>
      </c>
      <c r="F237" s="0" t="s">
        <v>996</v>
      </c>
      <c r="G237" s="0" t="n">
        <v>100</v>
      </c>
      <c r="H237" s="0" t="n">
        <v>0.0484</v>
      </c>
      <c r="I237" s="0" t="n">
        <v>2</v>
      </c>
      <c r="J237" s="0" t="s">
        <v>62</v>
      </c>
      <c r="K237" s="0" t="s">
        <v>1058</v>
      </c>
      <c r="L237" s="0" t="s">
        <v>1059</v>
      </c>
      <c r="M237" s="0" t="s">
        <v>65</v>
      </c>
      <c r="N237" s="0" t="n">
        <v>9.0075</v>
      </c>
      <c r="O237" s="0" t="n">
        <v>23</v>
      </c>
      <c r="P237" s="0" t="n">
        <v>0.0399</v>
      </c>
      <c r="Q237" s="0" t="n">
        <v>106.3744</v>
      </c>
      <c r="R237" s="0" t="n">
        <v>0.2416</v>
      </c>
      <c r="S237" s="0" t="n">
        <v>107.2643</v>
      </c>
      <c r="T237" s="0" t="n">
        <v>7.4593</v>
      </c>
      <c r="U237" s="0" t="n">
        <v>7.3134</v>
      </c>
      <c r="V237" s="0" t="n">
        <v>63.6697</v>
      </c>
      <c r="W237" s="0" t="n">
        <v>0.0778</v>
      </c>
      <c r="X237" s="0" t="n">
        <v>7.3134</v>
      </c>
      <c r="Y237" s="0" t="n">
        <v>63.6697</v>
      </c>
      <c r="Z237" s="0" t="n">
        <v>0</v>
      </c>
      <c r="AA237" s="0" t="n">
        <v>0</v>
      </c>
      <c r="AB237" s="0" t="n">
        <v>3</v>
      </c>
      <c r="AC237" s="0" t="s">
        <v>210</v>
      </c>
      <c r="AD237" s="0" t="n">
        <v>2000</v>
      </c>
      <c r="AE237" s="0" t="n">
        <v>2127.49</v>
      </c>
      <c r="AF237" s="0" t="n">
        <v>177645.41</v>
      </c>
      <c r="AG237" s="0" t="n">
        <v>0.005541</v>
      </c>
      <c r="AH237" s="4" t="b">
        <f aca="false">FALSE()</f>
        <v>0</v>
      </c>
      <c r="AJ237" s="4" t="b">
        <f aca="false">FALSE()</f>
        <v>0</v>
      </c>
      <c r="AK237" s="4" t="b">
        <f aca="false">FALSE()</f>
        <v>0</v>
      </c>
      <c r="AL237" s="0" t="s">
        <v>999</v>
      </c>
      <c r="AM237" s="0" t="n">
        <v>3.9745</v>
      </c>
      <c r="AN237" s="0" t="n">
        <v>-3.8051</v>
      </c>
      <c r="AO237" s="0" t="n">
        <v>8.1182</v>
      </c>
      <c r="AP237" s="0" t="n">
        <v>-7.4409</v>
      </c>
      <c r="AQ237" s="0" t="n">
        <v>16.9137</v>
      </c>
      <c r="AR237" s="0" t="n">
        <v>-14.2046</v>
      </c>
    </row>
    <row r="238" customFormat="false" ht="15" hidden="false" customHeight="false" outlineLevel="0" collapsed="false">
      <c r="A238" s="0" t="s">
        <v>1060</v>
      </c>
      <c r="B238" s="0" t="s">
        <v>1061</v>
      </c>
      <c r="C238" s="0" t="s">
        <v>995</v>
      </c>
      <c r="D238" s="0" t="s">
        <v>59</v>
      </c>
      <c r="E238" s="0" t="s">
        <v>60</v>
      </c>
      <c r="F238" s="0" t="s">
        <v>996</v>
      </c>
      <c r="G238" s="0" t="n">
        <v>100</v>
      </c>
      <c r="H238" s="0" t="n">
        <v>0.0403</v>
      </c>
      <c r="I238" s="0" t="n">
        <v>2</v>
      </c>
      <c r="J238" s="0" t="s">
        <v>62</v>
      </c>
      <c r="K238" s="0" t="s">
        <v>1062</v>
      </c>
      <c r="L238" s="0" t="s">
        <v>1063</v>
      </c>
      <c r="M238" s="0" t="s">
        <v>65</v>
      </c>
      <c r="N238" s="0" t="n">
        <v>15.3484</v>
      </c>
      <c r="O238" s="0" t="n">
        <v>23</v>
      </c>
      <c r="P238" s="0" t="n">
        <v>0.0381</v>
      </c>
      <c r="Q238" s="0" t="n">
        <v>102.4961</v>
      </c>
      <c r="R238" s="0" t="n">
        <v>0.5455</v>
      </c>
      <c r="S238" s="0" t="n">
        <v>102.5387</v>
      </c>
      <c r="T238" s="0" t="n">
        <v>11.4521</v>
      </c>
      <c r="U238" s="0" t="n">
        <v>11.238</v>
      </c>
      <c r="V238" s="0" t="n">
        <v>154.7751</v>
      </c>
      <c r="W238" s="0" t="n">
        <v>0.1152</v>
      </c>
      <c r="X238" s="0" t="n">
        <v>11.238</v>
      </c>
      <c r="Y238" s="0" t="n">
        <v>154.7751</v>
      </c>
      <c r="Z238" s="0" t="n">
        <v>0</v>
      </c>
      <c r="AA238" s="0" t="n">
        <v>0</v>
      </c>
      <c r="AB238" s="0" t="n">
        <v>10</v>
      </c>
      <c r="AC238" s="0" t="s">
        <v>86</v>
      </c>
      <c r="AD238" s="0" t="n">
        <v>5000</v>
      </c>
      <c r="AE238" s="0" t="n">
        <v>5124.81</v>
      </c>
      <c r="AF238" s="0" t="n">
        <v>427921.64</v>
      </c>
      <c r="AG238" s="0" t="n">
        <v>0.013348</v>
      </c>
      <c r="AH238" s="4" t="b">
        <f aca="false">FALSE()</f>
        <v>0</v>
      </c>
      <c r="AJ238" s="4" t="b">
        <f aca="false">FALSE()</f>
        <v>0</v>
      </c>
      <c r="AK238" s="4" t="b">
        <f aca="false">FALSE()</f>
        <v>0</v>
      </c>
      <c r="AL238" s="0" t="s">
        <v>999</v>
      </c>
      <c r="AM238" s="0" t="n">
        <v>5.9576</v>
      </c>
      <c r="AN238" s="0" t="n">
        <v>-5.561</v>
      </c>
      <c r="AO238" s="0" t="n">
        <v>12.3117</v>
      </c>
      <c r="AP238" s="0" t="n">
        <v>-10.7253</v>
      </c>
      <c r="AQ238" s="0" t="n">
        <v>26.2098</v>
      </c>
      <c r="AR238" s="0" t="n">
        <v>-19.8643</v>
      </c>
    </row>
    <row r="239" customFormat="false" ht="15" hidden="false" customHeight="false" outlineLevel="0" collapsed="false">
      <c r="A239" s="0" t="s">
        <v>1064</v>
      </c>
      <c r="B239" s="0" t="s">
        <v>1065</v>
      </c>
      <c r="C239" s="0" t="s">
        <v>995</v>
      </c>
      <c r="D239" s="0" t="s">
        <v>59</v>
      </c>
      <c r="E239" s="0" t="s">
        <v>60</v>
      </c>
      <c r="F239" s="0" t="s">
        <v>996</v>
      </c>
      <c r="G239" s="0" t="n">
        <v>100</v>
      </c>
      <c r="H239" s="0" t="n">
        <v>0.0319</v>
      </c>
      <c r="I239" s="0" t="n">
        <v>2</v>
      </c>
      <c r="J239" s="0" t="s">
        <v>62</v>
      </c>
      <c r="K239" s="0" t="s">
        <v>1066</v>
      </c>
      <c r="L239" s="0" t="s">
        <v>1067</v>
      </c>
      <c r="M239" s="0" t="s">
        <v>65</v>
      </c>
      <c r="N239" s="0" t="n">
        <v>17.128</v>
      </c>
      <c r="O239" s="0" t="n">
        <v>26</v>
      </c>
      <c r="P239" s="0" t="n">
        <v>0.0385</v>
      </c>
      <c r="Q239" s="0" t="n">
        <v>91.8219</v>
      </c>
      <c r="R239" s="0" t="n">
        <v>0.3375</v>
      </c>
      <c r="S239" s="0" t="n">
        <v>92.5713</v>
      </c>
      <c r="T239" s="0" t="n">
        <v>13.0563</v>
      </c>
      <c r="U239" s="0" t="n">
        <v>12.8097</v>
      </c>
      <c r="V239" s="0" t="n">
        <v>199.9431</v>
      </c>
      <c r="W239" s="0" t="n">
        <v>0.1176</v>
      </c>
      <c r="X239" s="0" t="n">
        <v>12.8097</v>
      </c>
      <c r="Y239" s="0" t="n">
        <v>199.9431</v>
      </c>
      <c r="Z239" s="0" t="n">
        <v>0</v>
      </c>
      <c r="AA239" s="0" t="n">
        <v>0</v>
      </c>
      <c r="AB239" s="0" t="n">
        <v>-4</v>
      </c>
      <c r="AC239" s="0" t="s">
        <v>86</v>
      </c>
      <c r="AD239" s="0" t="n">
        <v>5000</v>
      </c>
      <c r="AE239" s="0" t="n">
        <v>4591.1</v>
      </c>
      <c r="AF239" s="0" t="n">
        <v>383356.85</v>
      </c>
      <c r="AG239" s="0" t="n">
        <v>0.011958</v>
      </c>
      <c r="AH239" s="4" t="b">
        <f aca="false">FALSE()</f>
        <v>0</v>
      </c>
      <c r="AJ239" s="4" t="b">
        <f aca="false">FALSE()</f>
        <v>0</v>
      </c>
      <c r="AK239" s="4" t="b">
        <f aca="false">FALSE()</f>
        <v>0</v>
      </c>
      <c r="AL239" s="0" t="s">
        <v>999</v>
      </c>
      <c r="AM239" s="0" t="n">
        <v>6.1105</v>
      </c>
      <c r="AN239" s="0" t="n">
        <v>-5.6516</v>
      </c>
      <c r="AO239" s="0" t="n">
        <v>12.6801</v>
      </c>
      <c r="AP239" s="0" t="n">
        <v>-10.8442</v>
      </c>
      <c r="AQ239" s="0" t="n">
        <v>27.1961</v>
      </c>
      <c r="AR239" s="0" t="n">
        <v>-19.8524</v>
      </c>
    </row>
    <row r="240" customFormat="false" ht="15" hidden="false" customHeight="false" outlineLevel="0" collapsed="false">
      <c r="A240" s="0" t="s">
        <v>1068</v>
      </c>
      <c r="B240" s="0" t="s">
        <v>1069</v>
      </c>
      <c r="C240" s="0" t="s">
        <v>995</v>
      </c>
      <c r="D240" s="0" t="s">
        <v>59</v>
      </c>
      <c r="E240" s="0" t="s">
        <v>60</v>
      </c>
      <c r="F240" s="0" t="s">
        <v>996</v>
      </c>
      <c r="G240" s="0" t="n">
        <v>100</v>
      </c>
      <c r="H240" s="0" t="n">
        <v>0.0204</v>
      </c>
      <c r="I240" s="0" t="n">
        <v>2</v>
      </c>
      <c r="J240" s="0" t="s">
        <v>62</v>
      </c>
      <c r="K240" s="0" t="s">
        <v>1070</v>
      </c>
      <c r="L240" s="0" t="s">
        <v>1071</v>
      </c>
      <c r="M240" s="0" t="s">
        <v>65</v>
      </c>
      <c r="N240" s="0" t="n">
        <v>4.8433</v>
      </c>
      <c r="O240" s="0" t="n">
        <v>8</v>
      </c>
      <c r="P240" s="0" t="n">
        <v>0.039</v>
      </c>
      <c r="Q240" s="0" t="n">
        <v>92.391</v>
      </c>
      <c r="R240" s="0" t="n">
        <v>0.3125</v>
      </c>
      <c r="S240" s="0" t="n">
        <v>92.5234</v>
      </c>
      <c r="T240" s="0" t="n">
        <v>4.3135</v>
      </c>
      <c r="U240" s="0" t="n">
        <v>4.231</v>
      </c>
      <c r="V240" s="0" t="n">
        <v>20.4582</v>
      </c>
      <c r="W240" s="0" t="n">
        <v>0.0391</v>
      </c>
      <c r="X240" s="0" t="n">
        <v>4.231</v>
      </c>
      <c r="Y240" s="0" t="n">
        <v>20.4582</v>
      </c>
      <c r="Z240" s="0" t="n">
        <v>0</v>
      </c>
      <c r="AA240" s="0" t="n">
        <v>0</v>
      </c>
      <c r="AB240" s="0" t="n">
        <v>3</v>
      </c>
      <c r="AC240" s="0" t="s">
        <v>230</v>
      </c>
      <c r="AD240" s="0" t="n">
        <v>200</v>
      </c>
      <c r="AE240" s="0" t="n">
        <v>184.78</v>
      </c>
      <c r="AF240" s="0" t="n">
        <v>15429.13</v>
      </c>
      <c r="AG240" s="0" t="n">
        <v>0.000481</v>
      </c>
      <c r="AH240" s="4" t="b">
        <f aca="false">FALSE()</f>
        <v>0</v>
      </c>
      <c r="AJ240" s="4" t="b">
        <f aca="false">FALSE()</f>
        <v>0</v>
      </c>
      <c r="AK240" s="4" t="b">
        <f aca="false">FALSE()</f>
        <v>0</v>
      </c>
      <c r="AL240" s="0" t="s">
        <v>999</v>
      </c>
      <c r="AM240" s="0" t="n">
        <v>1.9782</v>
      </c>
      <c r="AN240" s="0" t="n">
        <v>-1.9309</v>
      </c>
      <c r="AO240" s="0" t="n">
        <v>4.0036</v>
      </c>
      <c r="AP240" s="0" t="n">
        <v>-3.8146</v>
      </c>
      <c r="AQ240" s="0" t="n">
        <v>8.1962</v>
      </c>
      <c r="AR240" s="0" t="n">
        <v>-7.4401</v>
      </c>
    </row>
    <row r="241" customFormat="false" ht="15" hidden="false" customHeight="false" outlineLevel="0" collapsed="false">
      <c r="A241" s="0" t="s">
        <v>1072</v>
      </c>
      <c r="B241" s="0" t="s">
        <v>1073</v>
      </c>
      <c r="C241" s="0" t="s">
        <v>995</v>
      </c>
      <c r="D241" s="0" t="s">
        <v>59</v>
      </c>
      <c r="E241" s="0" t="s">
        <v>60</v>
      </c>
      <c r="F241" s="0" t="s">
        <v>996</v>
      </c>
      <c r="G241" s="0" t="n">
        <v>100</v>
      </c>
      <c r="H241" s="0" t="n">
        <v>0.0326</v>
      </c>
      <c r="I241" s="0" t="n">
        <v>2</v>
      </c>
      <c r="J241" s="0" t="s">
        <v>62</v>
      </c>
      <c r="K241" s="0" t="s">
        <v>1074</v>
      </c>
      <c r="L241" s="0" t="s">
        <v>1075</v>
      </c>
      <c r="M241" s="0" t="s">
        <v>65</v>
      </c>
      <c r="N241" s="0" t="n">
        <v>20.0903</v>
      </c>
      <c r="O241" s="0" t="n">
        <v>26</v>
      </c>
      <c r="P241" s="0" t="n">
        <v>0.0465</v>
      </c>
      <c r="Q241" s="0" t="n">
        <v>82.028</v>
      </c>
      <c r="R241" s="0" t="n">
        <v>0.3673</v>
      </c>
      <c r="S241" s="0" t="n">
        <v>82.4937</v>
      </c>
      <c r="T241" s="0" t="n">
        <v>14.2139</v>
      </c>
      <c r="U241" s="0" t="n">
        <v>13.8909</v>
      </c>
      <c r="V241" s="0" t="n">
        <v>245.6773</v>
      </c>
      <c r="W241" s="0" t="n">
        <v>0.1139</v>
      </c>
      <c r="X241" s="0" t="n">
        <v>13.8909</v>
      </c>
      <c r="Y241" s="0" t="n">
        <v>245.6773</v>
      </c>
      <c r="Z241" s="0" t="n">
        <v>0</v>
      </c>
      <c r="AA241" s="0" t="n">
        <v>0</v>
      </c>
      <c r="AB241" s="0" t="n">
        <v>2</v>
      </c>
      <c r="AC241" s="0" t="s">
        <v>72</v>
      </c>
      <c r="AD241" s="0" t="n">
        <v>200</v>
      </c>
      <c r="AE241" s="0" t="n">
        <v>164.06</v>
      </c>
      <c r="AF241" s="0" t="n">
        <v>13699.01</v>
      </c>
      <c r="AG241" s="0" t="n">
        <v>0.000427</v>
      </c>
      <c r="AH241" s="4" t="b">
        <f aca="false">FALSE()</f>
        <v>0</v>
      </c>
      <c r="AJ241" s="4" t="b">
        <f aca="false">FALSE()</f>
        <v>0</v>
      </c>
      <c r="AK241" s="4" t="b">
        <f aca="false">FALSE()</f>
        <v>0</v>
      </c>
      <c r="AL241" s="0" t="s">
        <v>999</v>
      </c>
      <c r="AM241" s="0" t="n">
        <v>5.9491</v>
      </c>
      <c r="AN241" s="0" t="n">
        <v>-5.4453</v>
      </c>
      <c r="AO241" s="0" t="n">
        <v>12.402</v>
      </c>
      <c r="AP241" s="0" t="n">
        <v>-10.3868</v>
      </c>
      <c r="AQ241" s="0" t="n">
        <v>26.8193</v>
      </c>
      <c r="AR241" s="0" t="n">
        <v>-18.7584</v>
      </c>
    </row>
    <row r="242" customFormat="false" ht="15" hidden="false" customHeight="false" outlineLevel="0" collapsed="false">
      <c r="A242" s="0" t="s">
        <v>1076</v>
      </c>
      <c r="B242" s="0" t="s">
        <v>1077</v>
      </c>
      <c r="C242" s="0" t="s">
        <v>995</v>
      </c>
      <c r="D242" s="0" t="s">
        <v>59</v>
      </c>
      <c r="E242" s="0" t="s">
        <v>60</v>
      </c>
      <c r="F242" s="0" t="s">
        <v>996</v>
      </c>
      <c r="G242" s="0" t="n">
        <v>100</v>
      </c>
      <c r="H242" s="0" t="n">
        <v>0.0442</v>
      </c>
      <c r="I242" s="0" t="n">
        <v>2</v>
      </c>
      <c r="J242" s="0" t="s">
        <v>62</v>
      </c>
      <c r="K242" s="0" t="s">
        <v>1078</v>
      </c>
      <c r="L242" s="0" t="s">
        <v>1079</v>
      </c>
      <c r="M242" s="0" t="s">
        <v>65</v>
      </c>
      <c r="N242" s="0" t="n">
        <v>3.9699</v>
      </c>
      <c r="O242" s="0" t="n">
        <v>7</v>
      </c>
      <c r="P242" s="0" t="n">
        <v>0.0393</v>
      </c>
      <c r="Q242" s="0" t="n">
        <v>101.5878</v>
      </c>
      <c r="R242" s="0" t="n">
        <v>0.6969</v>
      </c>
      <c r="S242" s="0" t="n">
        <v>102.1779</v>
      </c>
      <c r="T242" s="0" t="n">
        <v>3.283</v>
      </c>
      <c r="U242" s="0" t="n">
        <v>3.2197</v>
      </c>
      <c r="V242" s="0" t="n">
        <v>12.3571</v>
      </c>
      <c r="W242" s="0" t="n">
        <v>0.0327</v>
      </c>
      <c r="X242" s="0" t="n">
        <v>3.2197</v>
      </c>
      <c r="Y242" s="0" t="n">
        <v>12.3571</v>
      </c>
      <c r="Z242" s="0" t="n">
        <v>0</v>
      </c>
      <c r="AA242" s="0" t="n">
        <v>0</v>
      </c>
      <c r="AB242" s="0" t="n">
        <v>5</v>
      </c>
      <c r="AC242" s="0" t="s">
        <v>230</v>
      </c>
      <c r="AD242" s="0" t="n">
        <v>5000</v>
      </c>
      <c r="AE242" s="0" t="n">
        <v>5079.39</v>
      </c>
      <c r="AF242" s="0" t="n">
        <v>424129.07</v>
      </c>
      <c r="AG242" s="0" t="n">
        <v>0.013229</v>
      </c>
      <c r="AH242" s="4" t="b">
        <f aca="false">FALSE()</f>
        <v>0</v>
      </c>
      <c r="AJ242" s="4" t="b">
        <f aca="false">FALSE()</f>
        <v>0</v>
      </c>
      <c r="AK242" s="4" t="b">
        <f aca="false">FALSE()</f>
        <v>0</v>
      </c>
      <c r="AL242" s="0" t="s">
        <v>999</v>
      </c>
      <c r="AM242" s="0" t="n">
        <v>1.6511</v>
      </c>
      <c r="AN242" s="0" t="n">
        <v>-1.6197</v>
      </c>
      <c r="AO242" s="0" t="n">
        <v>3.3336</v>
      </c>
      <c r="AP242" s="0" t="n">
        <v>-3.2081</v>
      </c>
      <c r="AQ242" s="0" t="n">
        <v>6.7927</v>
      </c>
      <c r="AR242" s="0" t="n">
        <v>-6.2906</v>
      </c>
    </row>
    <row r="243" customFormat="false" ht="15" hidden="false" customHeight="false" outlineLevel="0" collapsed="false">
      <c r="A243" s="0" t="s">
        <v>1080</v>
      </c>
      <c r="B243" s="0" t="s">
        <v>1081</v>
      </c>
      <c r="C243" s="0" t="s">
        <v>995</v>
      </c>
      <c r="D243" s="0" t="s">
        <v>59</v>
      </c>
      <c r="E243" s="0" t="s">
        <v>60</v>
      </c>
      <c r="F243" s="0" t="s">
        <v>996</v>
      </c>
      <c r="G243" s="0" t="n">
        <v>100</v>
      </c>
      <c r="H243" s="0" t="n">
        <v>0.0265</v>
      </c>
      <c r="I243" s="0" t="n">
        <v>2</v>
      </c>
      <c r="J243" s="0" t="s">
        <v>62</v>
      </c>
      <c r="K243" s="0" t="s">
        <v>1082</v>
      </c>
      <c r="L243" s="0" t="s">
        <v>1083</v>
      </c>
      <c r="M243" s="0" t="s">
        <v>65</v>
      </c>
      <c r="N243" s="0" t="n">
        <v>5.2101</v>
      </c>
      <c r="O243" s="0" t="n">
        <v>10</v>
      </c>
      <c r="P243" s="0" t="n">
        <v>0.0443</v>
      </c>
      <c r="Q243" s="0" t="n">
        <v>92.0947</v>
      </c>
      <c r="R243" s="0" t="n">
        <v>0.4933</v>
      </c>
      <c r="S243" s="0" t="n">
        <v>92.2668</v>
      </c>
      <c r="T243" s="0" t="n">
        <v>4.7009</v>
      </c>
      <c r="U243" s="0" t="n">
        <v>4.599</v>
      </c>
      <c r="V243" s="0" t="n">
        <v>24.237</v>
      </c>
      <c r="W243" s="0" t="n">
        <v>0.0424</v>
      </c>
      <c r="X243" s="0" t="n">
        <v>4.599</v>
      </c>
      <c r="Y243" s="0" t="n">
        <v>24.237</v>
      </c>
      <c r="Z243" s="0" t="n">
        <v>0</v>
      </c>
      <c r="AA243" s="0" t="n">
        <v>0</v>
      </c>
      <c r="AB243" s="0" t="n">
        <v>6</v>
      </c>
      <c r="AC243" s="0" t="s">
        <v>77</v>
      </c>
      <c r="AD243" s="0" t="n">
        <v>500</v>
      </c>
      <c r="AE243" s="0" t="n">
        <v>460.47</v>
      </c>
      <c r="AF243" s="0" t="n">
        <v>38449.25</v>
      </c>
      <c r="AG243" s="0" t="n">
        <v>0.001199</v>
      </c>
      <c r="AH243" s="4" t="b">
        <f aca="false">FALSE()</f>
        <v>0</v>
      </c>
      <c r="AJ243" s="4" t="b">
        <f aca="false">FALSE()</f>
        <v>0</v>
      </c>
      <c r="AK243" s="4" t="b">
        <f aca="false">FALSE()</f>
        <v>0</v>
      </c>
      <c r="AL243" s="0" t="s">
        <v>999</v>
      </c>
      <c r="AM243" s="0" t="n">
        <v>2.1456</v>
      </c>
      <c r="AN243" s="0" t="n">
        <v>-2.0898</v>
      </c>
      <c r="AO243" s="0" t="n">
        <v>4.347</v>
      </c>
      <c r="AP243" s="0" t="n">
        <v>-4.1238</v>
      </c>
      <c r="AQ243" s="0" t="n">
        <v>8.9173</v>
      </c>
      <c r="AR243" s="0" t="n">
        <v>-8.0245</v>
      </c>
    </row>
    <row r="244" customFormat="false" ht="15" hidden="false" customHeight="false" outlineLevel="0" collapsed="false">
      <c r="A244" s="0" t="s">
        <v>1084</v>
      </c>
      <c r="B244" s="0" t="s">
        <v>1085</v>
      </c>
      <c r="C244" s="0" t="s">
        <v>995</v>
      </c>
      <c r="D244" s="0" t="s">
        <v>59</v>
      </c>
      <c r="E244" s="0" t="s">
        <v>60</v>
      </c>
      <c r="F244" s="0" t="s">
        <v>996</v>
      </c>
      <c r="G244" s="0" t="n">
        <v>100</v>
      </c>
      <c r="H244" s="0" t="n">
        <v>0.0373</v>
      </c>
      <c r="I244" s="0" t="n">
        <v>2</v>
      </c>
      <c r="J244" s="0" t="s">
        <v>62</v>
      </c>
      <c r="K244" s="0" t="s">
        <v>1086</v>
      </c>
      <c r="L244" s="0" t="s">
        <v>1087</v>
      </c>
      <c r="M244" s="0" t="s">
        <v>65</v>
      </c>
      <c r="N244" s="0" t="n">
        <v>12.0794</v>
      </c>
      <c r="O244" s="0" t="n">
        <v>22</v>
      </c>
      <c r="P244" s="0" t="n">
        <v>0.0397</v>
      </c>
      <c r="Q244" s="0" t="n">
        <v>97.7265</v>
      </c>
      <c r="R244" s="0" t="n">
        <v>0.2654</v>
      </c>
      <c r="S244" s="0" t="n">
        <v>98.0296</v>
      </c>
      <c r="T244" s="0" t="n">
        <v>9.7514</v>
      </c>
      <c r="U244" s="0" t="n">
        <v>9.5616</v>
      </c>
      <c r="V244" s="0" t="n">
        <v>108.8137</v>
      </c>
      <c r="W244" s="0" t="n">
        <v>0.0934</v>
      </c>
      <c r="X244" s="0" t="n">
        <v>9.5616</v>
      </c>
      <c r="Y244" s="0" t="n">
        <v>108.8137</v>
      </c>
      <c r="Z244" s="0" t="n">
        <v>0</v>
      </c>
      <c r="AA244" s="0" t="n">
        <v>0</v>
      </c>
      <c r="AB244" s="0" t="n">
        <v>10</v>
      </c>
      <c r="AC244" s="0" t="s">
        <v>152</v>
      </c>
      <c r="AD244" s="0" t="n">
        <v>5000</v>
      </c>
      <c r="AE244" s="0" t="n">
        <v>4886.32</v>
      </c>
      <c r="AF244" s="0" t="n">
        <v>408007.72</v>
      </c>
      <c r="AG244" s="0" t="n">
        <v>0.012727</v>
      </c>
      <c r="AH244" s="4" t="b">
        <f aca="false">FALSE()</f>
        <v>0</v>
      </c>
      <c r="AJ244" s="4" t="b">
        <f aca="false">FALSE()</f>
        <v>0</v>
      </c>
      <c r="AK244" s="4" t="b">
        <f aca="false">FALSE()</f>
        <v>0</v>
      </c>
      <c r="AL244" s="0" t="s">
        <v>999</v>
      </c>
      <c r="AM244" s="0" t="n">
        <v>4.805</v>
      </c>
      <c r="AN244" s="0" t="n">
        <v>-4.5392</v>
      </c>
      <c r="AO244" s="0" t="n">
        <v>9.8759</v>
      </c>
      <c r="AP244" s="0" t="n">
        <v>-8.8125</v>
      </c>
      <c r="AQ244" s="0" t="n">
        <v>20.8152</v>
      </c>
      <c r="AR244" s="0" t="n">
        <v>-16.5616</v>
      </c>
    </row>
    <row r="245" customFormat="false" ht="15" hidden="false" customHeight="false" outlineLevel="0" collapsed="false">
      <c r="A245" s="0" t="s">
        <v>1088</v>
      </c>
      <c r="B245" s="0" t="s">
        <v>1089</v>
      </c>
      <c r="C245" s="0" t="s">
        <v>995</v>
      </c>
      <c r="D245" s="0" t="s">
        <v>59</v>
      </c>
      <c r="E245" s="0" t="s">
        <v>60</v>
      </c>
      <c r="F245" s="0" t="s">
        <v>996</v>
      </c>
      <c r="G245" s="0" t="n">
        <v>100</v>
      </c>
      <c r="H245" s="0" t="n">
        <v>0.0389</v>
      </c>
      <c r="I245" s="0" t="n">
        <v>2</v>
      </c>
      <c r="J245" s="0" t="s">
        <v>62</v>
      </c>
      <c r="K245" s="0" t="s">
        <v>1090</v>
      </c>
      <c r="L245" s="0" t="s">
        <v>1091</v>
      </c>
      <c r="M245" s="0" t="s">
        <v>65</v>
      </c>
      <c r="N245" s="0" t="n">
        <v>13.6235</v>
      </c>
      <c r="O245" s="0" t="n">
        <v>20</v>
      </c>
      <c r="P245" s="0" t="n">
        <v>0.0471</v>
      </c>
      <c r="Q245" s="0" t="n">
        <v>91.8767</v>
      </c>
      <c r="R245" s="0" t="n">
        <v>0.1575</v>
      </c>
      <c r="S245" s="0" t="n">
        <v>92.0986</v>
      </c>
      <c r="T245" s="0" t="n">
        <v>10.4795</v>
      </c>
      <c r="U245" s="0" t="n">
        <v>10.2384</v>
      </c>
      <c r="V245" s="0" t="n">
        <v>127.833</v>
      </c>
      <c r="W245" s="0" t="n">
        <v>0.0941</v>
      </c>
      <c r="X245" s="0" t="n">
        <v>10.2384</v>
      </c>
      <c r="Y245" s="0" t="n">
        <v>127.833</v>
      </c>
      <c r="Z245" s="0" t="n">
        <v>0</v>
      </c>
      <c r="AA245" s="0" t="n">
        <v>0</v>
      </c>
      <c r="AB245" s="0" t="n">
        <v>5</v>
      </c>
      <c r="AC245" s="0" t="s">
        <v>152</v>
      </c>
      <c r="AD245" s="0" t="n">
        <v>50</v>
      </c>
      <c r="AE245" s="0" t="n">
        <v>45.94</v>
      </c>
      <c r="AF245" s="0" t="n">
        <v>3835.99</v>
      </c>
      <c r="AG245" s="0" t="n">
        <v>0.00012</v>
      </c>
      <c r="AH245" s="4" t="b">
        <f aca="false">FALSE()</f>
        <v>0</v>
      </c>
      <c r="AJ245" s="4" t="b">
        <f aca="false">FALSE()</f>
        <v>0</v>
      </c>
      <c r="AK245" s="4" t="b">
        <f aca="false">FALSE()</f>
        <v>0</v>
      </c>
      <c r="AL245" s="0" t="s">
        <v>999</v>
      </c>
      <c r="AM245" s="0" t="n">
        <v>4.8502</v>
      </c>
      <c r="AN245" s="0" t="n">
        <v>-4.5565</v>
      </c>
      <c r="AO245" s="0" t="n">
        <v>9.9939</v>
      </c>
      <c r="AP245" s="0" t="n">
        <v>-8.8195</v>
      </c>
      <c r="AQ245" s="0" t="n">
        <v>21.1624</v>
      </c>
      <c r="AR245" s="0" t="n">
        <v>-16.4644</v>
      </c>
    </row>
    <row r="246" customFormat="false" ht="15" hidden="false" customHeight="false" outlineLevel="0" collapsed="false">
      <c r="A246" s="0" t="s">
        <v>1092</v>
      </c>
      <c r="B246" s="0" t="s">
        <v>1093</v>
      </c>
      <c r="C246" s="0" t="s">
        <v>995</v>
      </c>
      <c r="D246" s="0" t="s">
        <v>59</v>
      </c>
      <c r="E246" s="0" t="s">
        <v>60</v>
      </c>
      <c r="F246" s="0" t="s">
        <v>996</v>
      </c>
      <c r="G246" s="0" t="n">
        <v>100</v>
      </c>
      <c r="H246" s="0" t="n">
        <v>0.0324</v>
      </c>
      <c r="I246" s="0" t="n">
        <v>2</v>
      </c>
      <c r="J246" s="0" t="s">
        <v>62</v>
      </c>
      <c r="K246" s="0" t="s">
        <v>1094</v>
      </c>
      <c r="L246" s="0" t="s">
        <v>1095</v>
      </c>
      <c r="M246" s="0" t="s">
        <v>65</v>
      </c>
      <c r="N246" s="0" t="n">
        <v>1.3744</v>
      </c>
      <c r="O246" s="0" t="n">
        <v>7</v>
      </c>
      <c r="P246" s="0" t="n">
        <v>0.0393</v>
      </c>
      <c r="Q246" s="0" t="n">
        <v>99.3298</v>
      </c>
      <c r="R246" s="0" t="n">
        <v>0.5362</v>
      </c>
      <c r="S246" s="0" t="n">
        <v>100.0916</v>
      </c>
      <c r="T246" s="0" t="n">
        <v>0.992</v>
      </c>
      <c r="U246" s="0" t="n">
        <v>0.9729</v>
      </c>
      <c r="V246" s="0" t="n">
        <v>1.4274</v>
      </c>
      <c r="W246" s="0" t="n">
        <v>0.0097</v>
      </c>
      <c r="X246" s="0" t="n">
        <v>0.9729</v>
      </c>
      <c r="Y246" s="0" t="n">
        <v>1.4274</v>
      </c>
      <c r="Z246" s="0" t="n">
        <v>0</v>
      </c>
      <c r="AA246" s="0" t="n">
        <v>0</v>
      </c>
      <c r="AB246" s="0" t="n">
        <v>-3</v>
      </c>
      <c r="AC246" s="0" t="s">
        <v>91</v>
      </c>
      <c r="AD246" s="0" t="n">
        <v>100</v>
      </c>
      <c r="AE246" s="0" t="n">
        <v>99.33</v>
      </c>
      <c r="AF246" s="0" t="n">
        <v>8294.06</v>
      </c>
      <c r="AG246" s="0" t="n">
        <v>0.000259</v>
      </c>
      <c r="AH246" s="4" t="b">
        <f aca="false">FALSE()</f>
        <v>0</v>
      </c>
      <c r="AJ246" s="4" t="b">
        <f aca="false">FALSE()</f>
        <v>0</v>
      </c>
      <c r="AK246" s="4" t="b">
        <f aca="false">FALSE()</f>
        <v>0</v>
      </c>
      <c r="AL246" s="0" t="s">
        <v>999</v>
      </c>
      <c r="AM246" s="0" t="n">
        <v>0.485</v>
      </c>
      <c r="AN246" s="0" t="n">
        <v>-0.4814</v>
      </c>
      <c r="AO246" s="0" t="n">
        <v>0.9735</v>
      </c>
      <c r="AP246" s="0" t="n">
        <v>-0.9593</v>
      </c>
      <c r="AQ246" s="0" t="n">
        <v>1.9611</v>
      </c>
      <c r="AR246" s="0" t="n">
        <v>-1.9044</v>
      </c>
    </row>
    <row r="247" customFormat="false" ht="15" hidden="false" customHeight="false" outlineLevel="0" collapsed="false">
      <c r="A247" s="0" t="s">
        <v>1096</v>
      </c>
      <c r="B247" s="0" t="s">
        <v>1097</v>
      </c>
      <c r="C247" s="0" t="s">
        <v>995</v>
      </c>
      <c r="D247" s="0" t="s">
        <v>59</v>
      </c>
      <c r="E247" s="0" t="s">
        <v>60</v>
      </c>
      <c r="F247" s="0" t="s">
        <v>996</v>
      </c>
      <c r="G247" s="0" t="n">
        <v>100</v>
      </c>
      <c r="H247" s="0" t="n">
        <v>0.0431</v>
      </c>
      <c r="I247" s="0" t="n">
        <v>2</v>
      </c>
      <c r="J247" s="0" t="s">
        <v>62</v>
      </c>
      <c r="K247" s="0" t="s">
        <v>1098</v>
      </c>
      <c r="L247" s="0" t="s">
        <v>1099</v>
      </c>
      <c r="M247" s="0" t="s">
        <v>65</v>
      </c>
      <c r="N247" s="0" t="n">
        <v>6.4038</v>
      </c>
      <c r="O247" s="0" t="n">
        <v>18</v>
      </c>
      <c r="P247" s="0" t="n">
        <v>0.0388</v>
      </c>
      <c r="Q247" s="0" t="n">
        <v>102.2821</v>
      </c>
      <c r="R247" s="0" t="n">
        <v>0.666</v>
      </c>
      <c r="S247" s="0" t="n">
        <v>102.3729</v>
      </c>
      <c r="T247" s="0" t="n">
        <v>5.3594</v>
      </c>
      <c r="U247" s="0" t="n">
        <v>5.2574</v>
      </c>
      <c r="V247" s="0" t="n">
        <v>32.2294</v>
      </c>
      <c r="W247" s="0" t="n">
        <v>0.0538</v>
      </c>
      <c r="X247" s="0" t="n">
        <v>5.2574</v>
      </c>
      <c r="Y247" s="0" t="n">
        <v>32.2294</v>
      </c>
      <c r="Z247" s="0" t="n">
        <v>0</v>
      </c>
      <c r="AA247" s="0" t="n">
        <v>0</v>
      </c>
      <c r="AB247" s="0" t="n">
        <v>7</v>
      </c>
      <c r="AC247" s="0" t="s">
        <v>77</v>
      </c>
      <c r="AD247" s="0" t="n">
        <v>200</v>
      </c>
      <c r="AE247" s="0" t="n">
        <v>204.56</v>
      </c>
      <c r="AF247" s="0" t="n">
        <v>17080.76</v>
      </c>
      <c r="AG247" s="0" t="n">
        <v>0.000533</v>
      </c>
      <c r="AH247" s="4" t="b">
        <f aca="false">FALSE()</f>
        <v>0</v>
      </c>
      <c r="AJ247" s="4" t="b">
        <f aca="false">FALSE()</f>
        <v>0</v>
      </c>
      <c r="AK247" s="4" t="b">
        <f aca="false">FALSE()</f>
        <v>0</v>
      </c>
      <c r="AL247" s="0" t="s">
        <v>999</v>
      </c>
      <c r="AM247" s="0" t="n">
        <v>2.7299</v>
      </c>
      <c r="AN247" s="0" t="n">
        <v>-2.6475</v>
      </c>
      <c r="AO247" s="0" t="n">
        <v>5.5422</v>
      </c>
      <c r="AP247" s="0" t="n">
        <v>-5.2126</v>
      </c>
      <c r="AQ247" s="0" t="n">
        <v>11.4141</v>
      </c>
      <c r="AR247" s="0" t="n">
        <v>-10.0955</v>
      </c>
    </row>
    <row r="248" customFormat="false" ht="15" hidden="false" customHeight="false" outlineLevel="0" collapsed="false">
      <c r="A248" s="0" t="s">
        <v>1100</v>
      </c>
      <c r="B248" s="0" t="s">
        <v>1101</v>
      </c>
      <c r="C248" s="0" t="s">
        <v>995</v>
      </c>
      <c r="D248" s="0" t="s">
        <v>59</v>
      </c>
      <c r="E248" s="0" t="s">
        <v>60</v>
      </c>
      <c r="F248" s="0" t="s">
        <v>996</v>
      </c>
      <c r="G248" s="0" t="n">
        <v>100</v>
      </c>
      <c r="H248" s="0" t="n">
        <v>0.0211</v>
      </c>
      <c r="I248" s="0" t="n">
        <v>2</v>
      </c>
      <c r="J248" s="0" t="s">
        <v>62</v>
      </c>
      <c r="K248" s="0" t="s">
        <v>1102</v>
      </c>
      <c r="L248" s="0" t="s">
        <v>559</v>
      </c>
      <c r="M248" s="0" t="s">
        <v>65</v>
      </c>
      <c r="N248" s="0" t="n">
        <v>2.1766</v>
      </c>
      <c r="O248" s="0" t="n">
        <v>13</v>
      </c>
      <c r="P248" s="0" t="n">
        <v>0.0413</v>
      </c>
      <c r="Q248" s="0" t="n">
        <v>96.1603</v>
      </c>
      <c r="R248" s="0" t="n">
        <v>0.2464</v>
      </c>
      <c r="S248" s="0" t="n">
        <v>96.6197</v>
      </c>
      <c r="T248" s="0" t="n">
        <v>1.9682</v>
      </c>
      <c r="U248" s="0" t="n">
        <v>1.9284</v>
      </c>
      <c r="V248" s="0" t="n">
        <v>4.6981</v>
      </c>
      <c r="W248" s="0" t="n">
        <v>0.0185</v>
      </c>
      <c r="X248" s="0" t="n">
        <v>1.9284</v>
      </c>
      <c r="Y248" s="0" t="n">
        <v>4.6981</v>
      </c>
      <c r="Z248" s="0" t="n">
        <v>0</v>
      </c>
      <c r="AA248" s="0" t="n">
        <v>0</v>
      </c>
      <c r="AB248" s="0" t="n">
        <v>3</v>
      </c>
      <c r="AC248" s="0" t="s">
        <v>66</v>
      </c>
      <c r="AD248" s="0" t="n">
        <v>500</v>
      </c>
      <c r="AE248" s="0" t="n">
        <v>480.8</v>
      </c>
      <c r="AF248" s="0" t="n">
        <v>40146.8</v>
      </c>
      <c r="AG248" s="0" t="n">
        <v>0.001252</v>
      </c>
      <c r="AH248" s="4" t="b">
        <f aca="false">FALSE()</f>
        <v>0</v>
      </c>
      <c r="AJ248" s="4" t="b">
        <f aca="false">FALSE()</f>
        <v>0</v>
      </c>
      <c r="AK248" s="4" t="b">
        <f aca="false">FALSE()</f>
        <v>0</v>
      </c>
      <c r="AL248" s="0" t="s">
        <v>999</v>
      </c>
      <c r="AM248" s="0" t="n">
        <v>0.9328</v>
      </c>
      <c r="AN248" s="0" t="n">
        <v>-0.9215</v>
      </c>
      <c r="AO248" s="0" t="n">
        <v>1.8769</v>
      </c>
      <c r="AP248" s="0" t="n">
        <v>-1.8318</v>
      </c>
      <c r="AQ248" s="0" t="n">
        <v>3.7991</v>
      </c>
      <c r="AR248" s="0" t="n">
        <v>-3.6184</v>
      </c>
    </row>
    <row r="249" customFormat="false" ht="15" hidden="false" customHeight="false" outlineLevel="0" collapsed="false">
      <c r="A249" s="0" t="s">
        <v>1103</v>
      </c>
      <c r="B249" s="0" t="s">
        <v>1104</v>
      </c>
      <c r="C249" s="0" t="s">
        <v>995</v>
      </c>
      <c r="D249" s="0" t="s">
        <v>59</v>
      </c>
      <c r="E249" s="0" t="s">
        <v>60</v>
      </c>
      <c r="F249" s="0" t="s">
        <v>996</v>
      </c>
      <c r="G249" s="0" t="n">
        <v>100</v>
      </c>
      <c r="H249" s="0" t="n">
        <v>0.0357</v>
      </c>
      <c r="I249" s="0" t="n">
        <v>2</v>
      </c>
      <c r="J249" s="0" t="s">
        <v>62</v>
      </c>
      <c r="K249" s="0" t="s">
        <v>1105</v>
      </c>
      <c r="L249" s="0" t="s">
        <v>1106</v>
      </c>
      <c r="M249" s="0" t="s">
        <v>65</v>
      </c>
      <c r="N249" s="0" t="n">
        <v>13.7522</v>
      </c>
      <c r="O249" s="0" t="n">
        <v>22</v>
      </c>
      <c r="P249" s="0" t="n">
        <v>0.0471</v>
      </c>
      <c r="Q249" s="0" t="n">
        <v>88.7066</v>
      </c>
      <c r="R249" s="0" t="n">
        <v>0.4817</v>
      </c>
      <c r="S249" s="0" t="n">
        <v>89.4248</v>
      </c>
      <c r="T249" s="0" t="n">
        <v>10.6289</v>
      </c>
      <c r="U249" s="0" t="n">
        <v>10.3843</v>
      </c>
      <c r="V249" s="0" t="n">
        <v>130.4334</v>
      </c>
      <c r="W249" s="0" t="n">
        <v>0.0921</v>
      </c>
      <c r="X249" s="0" t="n">
        <v>10.3843</v>
      </c>
      <c r="Y249" s="0" t="n">
        <v>130.4334</v>
      </c>
      <c r="Z249" s="0" t="n">
        <v>0</v>
      </c>
      <c r="AA249" s="0" t="n">
        <v>0</v>
      </c>
      <c r="AB249" s="0" t="n">
        <v>9</v>
      </c>
      <c r="AC249" s="0" t="s">
        <v>152</v>
      </c>
      <c r="AD249" s="0" t="n">
        <v>500</v>
      </c>
      <c r="AE249" s="0" t="n">
        <v>443.53</v>
      </c>
      <c r="AF249" s="0" t="n">
        <v>37034.75</v>
      </c>
      <c r="AG249" s="0" t="n">
        <v>0.001155</v>
      </c>
      <c r="AH249" s="4" t="b">
        <f aca="false">FALSE()</f>
        <v>0</v>
      </c>
      <c r="AJ249" s="4" t="b">
        <f aca="false">FALSE()</f>
        <v>0</v>
      </c>
      <c r="AK249" s="4" t="b">
        <f aca="false">FALSE()</f>
        <v>0</v>
      </c>
      <c r="AL249" s="0" t="s">
        <v>999</v>
      </c>
      <c r="AM249" s="0" t="n">
        <v>4.7504</v>
      </c>
      <c r="AN249" s="0" t="n">
        <v>-4.4612</v>
      </c>
      <c r="AO249" s="0" t="n">
        <v>9.7901</v>
      </c>
      <c r="AP249" s="0" t="n">
        <v>-8.633</v>
      </c>
      <c r="AQ249" s="0" t="n">
        <v>20.7372</v>
      </c>
      <c r="AR249" s="0" t="n">
        <v>-16.1091</v>
      </c>
    </row>
    <row r="250" customFormat="false" ht="15" hidden="false" customHeight="false" outlineLevel="0" collapsed="false">
      <c r="A250" s="0" t="s">
        <v>1107</v>
      </c>
      <c r="B250" s="0" t="s">
        <v>1108</v>
      </c>
      <c r="C250" s="0" t="s">
        <v>995</v>
      </c>
      <c r="D250" s="0" t="s">
        <v>59</v>
      </c>
      <c r="E250" s="0" t="s">
        <v>60</v>
      </c>
      <c r="F250" s="0" t="s">
        <v>996</v>
      </c>
      <c r="G250" s="0" t="n">
        <v>100</v>
      </c>
      <c r="H250" s="0" t="n">
        <v>0.0303</v>
      </c>
      <c r="I250" s="0" t="n">
        <v>2</v>
      </c>
      <c r="J250" s="0" t="s">
        <v>62</v>
      </c>
      <c r="K250" s="0" t="s">
        <v>1109</v>
      </c>
      <c r="L250" s="0" t="s">
        <v>1110</v>
      </c>
      <c r="M250" s="0" t="s">
        <v>65</v>
      </c>
      <c r="N250" s="0" t="n">
        <v>8.7365</v>
      </c>
      <c r="O250" s="0" t="n">
        <v>17</v>
      </c>
      <c r="P250" s="0" t="n">
        <v>0.0449</v>
      </c>
      <c r="Q250" s="0" t="n">
        <v>89.7775</v>
      </c>
      <c r="R250" s="0" t="n">
        <v>0.7173</v>
      </c>
      <c r="S250" s="0" t="n">
        <v>90.1389</v>
      </c>
      <c r="T250" s="0" t="n">
        <v>7.492</v>
      </c>
      <c r="U250" s="0" t="n">
        <v>7.3275</v>
      </c>
      <c r="V250" s="0" t="n">
        <v>61.7628</v>
      </c>
      <c r="W250" s="0" t="n">
        <v>0.0658</v>
      </c>
      <c r="X250" s="0" t="n">
        <v>7.3275</v>
      </c>
      <c r="Y250" s="0" t="n">
        <v>61.7628</v>
      </c>
      <c r="Z250" s="0" t="n">
        <v>0</v>
      </c>
      <c r="AA250" s="0" t="n">
        <v>0</v>
      </c>
      <c r="AB250" s="0" t="n">
        <v>-5</v>
      </c>
      <c r="AC250" s="0" t="s">
        <v>210</v>
      </c>
      <c r="AD250" s="0" t="n">
        <v>500</v>
      </c>
      <c r="AE250" s="0" t="n">
        <v>448.89</v>
      </c>
      <c r="AF250" s="0" t="n">
        <v>37482.32</v>
      </c>
      <c r="AG250" s="0" t="n">
        <v>0.001169</v>
      </c>
      <c r="AH250" s="4" t="b">
        <f aca="false">FALSE()</f>
        <v>0</v>
      </c>
      <c r="AJ250" s="4" t="b">
        <f aca="false">FALSE()</f>
        <v>0</v>
      </c>
      <c r="AK250" s="4" t="b">
        <f aca="false">FALSE()</f>
        <v>0</v>
      </c>
      <c r="AL250" s="0" t="s">
        <v>999</v>
      </c>
      <c r="AM250" s="0" t="n">
        <v>3.3585</v>
      </c>
      <c r="AN250" s="0" t="n">
        <v>-3.2199</v>
      </c>
      <c r="AO250" s="0" t="n">
        <v>6.8557</v>
      </c>
      <c r="AP250" s="0" t="n">
        <v>-6.3012</v>
      </c>
      <c r="AQ250" s="0" t="n">
        <v>14.2659</v>
      </c>
      <c r="AR250" s="0" t="n">
        <v>-12.0479</v>
      </c>
    </row>
    <row r="251" customFormat="false" ht="15" hidden="false" customHeight="false" outlineLevel="0" collapsed="false">
      <c r="A251" s="0" t="s">
        <v>1111</v>
      </c>
      <c r="B251" s="0" t="s">
        <v>1112</v>
      </c>
      <c r="C251" s="0" t="s">
        <v>995</v>
      </c>
      <c r="D251" s="0" t="s">
        <v>59</v>
      </c>
      <c r="E251" s="0" t="s">
        <v>60</v>
      </c>
      <c r="F251" s="0" t="s">
        <v>996</v>
      </c>
      <c r="G251" s="0" t="n">
        <v>100</v>
      </c>
      <c r="H251" s="0" t="n">
        <v>0.0331</v>
      </c>
      <c r="I251" s="0" t="n">
        <v>2</v>
      </c>
      <c r="J251" s="0" t="s">
        <v>62</v>
      </c>
      <c r="K251" s="0" t="s">
        <v>1113</v>
      </c>
      <c r="L251" s="0" t="s">
        <v>1114</v>
      </c>
      <c r="M251" s="0" t="s">
        <v>65</v>
      </c>
      <c r="N251" s="0" t="n">
        <v>7.1896</v>
      </c>
      <c r="O251" s="0" t="n">
        <v>9</v>
      </c>
      <c r="P251" s="0" t="n">
        <v>0.0454</v>
      </c>
      <c r="Q251" s="0" t="n">
        <v>92.6942</v>
      </c>
      <c r="R251" s="0" t="n">
        <v>0.6855</v>
      </c>
      <c r="S251" s="0" t="n">
        <v>92.8767</v>
      </c>
      <c r="T251" s="0" t="n">
        <v>6.2721</v>
      </c>
      <c r="U251" s="0" t="n">
        <v>6.1329</v>
      </c>
      <c r="V251" s="0" t="n">
        <v>43.3119</v>
      </c>
      <c r="W251" s="0" t="n">
        <v>0.0568</v>
      </c>
      <c r="X251" s="0" t="n">
        <v>6.1329</v>
      </c>
      <c r="Y251" s="0" t="n">
        <v>43.3119</v>
      </c>
      <c r="Z251" s="0" t="n">
        <v>0</v>
      </c>
      <c r="AA251" s="0" t="n">
        <v>0</v>
      </c>
      <c r="AB251" s="0" t="n">
        <v>-3</v>
      </c>
      <c r="AC251" s="0" t="s">
        <v>210</v>
      </c>
      <c r="AD251" s="0" t="n">
        <v>500</v>
      </c>
      <c r="AE251" s="0" t="n">
        <v>463.47</v>
      </c>
      <c r="AF251" s="0" t="n">
        <v>38699.75</v>
      </c>
      <c r="AG251" s="0" t="n">
        <v>0.001207</v>
      </c>
      <c r="AH251" s="4" t="b">
        <f aca="false">FALSE()</f>
        <v>0</v>
      </c>
      <c r="AJ251" s="4" t="b">
        <f aca="false">FALSE()</f>
        <v>0</v>
      </c>
      <c r="AK251" s="4" t="b">
        <f aca="false">FALSE()</f>
        <v>0</v>
      </c>
      <c r="AL251" s="0" t="s">
        <v>999</v>
      </c>
      <c r="AM251" s="0" t="n">
        <v>2.8926</v>
      </c>
      <c r="AN251" s="0" t="n">
        <v>-2.7922</v>
      </c>
      <c r="AO251" s="0" t="n">
        <v>5.8856</v>
      </c>
      <c r="AP251" s="0" t="n">
        <v>-5.4841</v>
      </c>
      <c r="AQ251" s="0" t="n">
        <v>12.1726</v>
      </c>
      <c r="AR251" s="0" t="n">
        <v>-10.5667</v>
      </c>
    </row>
    <row r="252" customFormat="false" ht="15" hidden="false" customHeight="false" outlineLevel="0" collapsed="false">
      <c r="A252" s="0" t="s">
        <v>1115</v>
      </c>
      <c r="B252" s="0" t="s">
        <v>1116</v>
      </c>
      <c r="C252" s="0" t="s">
        <v>1117</v>
      </c>
      <c r="D252" s="0" t="s">
        <v>59</v>
      </c>
      <c r="E252" s="0" t="s">
        <v>60</v>
      </c>
      <c r="F252" s="0" t="s">
        <v>1118</v>
      </c>
      <c r="G252" s="0" t="n">
        <v>100</v>
      </c>
      <c r="H252" s="0" t="n">
        <v>0.0399</v>
      </c>
      <c r="I252" s="0" t="n">
        <v>2</v>
      </c>
      <c r="J252" s="0" t="s">
        <v>62</v>
      </c>
      <c r="K252" s="0" t="s">
        <v>1119</v>
      </c>
      <c r="L252" s="0" t="s">
        <v>1120</v>
      </c>
      <c r="M252" s="0" t="s">
        <v>65</v>
      </c>
      <c r="N252" s="0" t="n">
        <v>5.6783</v>
      </c>
      <c r="O252" s="0" t="n">
        <v>7</v>
      </c>
      <c r="P252" s="0" t="n">
        <v>0.0409</v>
      </c>
      <c r="Q252" s="0" t="n">
        <v>99.5119</v>
      </c>
      <c r="R252" s="0" t="n">
        <v>0.6162</v>
      </c>
      <c r="S252" s="0" t="n">
        <v>99.7834</v>
      </c>
      <c r="T252" s="0" t="n">
        <v>4.9909</v>
      </c>
      <c r="U252" s="0" t="n">
        <v>4.8909</v>
      </c>
      <c r="V252" s="0" t="n">
        <v>27.809</v>
      </c>
      <c r="W252" s="0" t="n">
        <v>0.0487</v>
      </c>
      <c r="X252" s="0" t="n">
        <v>4.8909</v>
      </c>
      <c r="Y252" s="0" t="n">
        <v>27.809</v>
      </c>
      <c r="Z252" s="0" t="n">
        <v>0</v>
      </c>
      <c r="AA252" s="0" t="n">
        <v>0</v>
      </c>
      <c r="AB252" s="0" t="n">
        <v>10</v>
      </c>
      <c r="AC252" s="0" t="s">
        <v>77</v>
      </c>
      <c r="AD252" s="0" t="n">
        <v>500</v>
      </c>
      <c r="AE252" s="0" t="n">
        <v>497.56</v>
      </c>
      <c r="AF252" s="0" t="n">
        <v>52343.31</v>
      </c>
      <c r="AG252" s="0" t="n">
        <v>0.001633</v>
      </c>
      <c r="AH252" s="4" t="b">
        <f aca="false">FALSE()</f>
        <v>0</v>
      </c>
      <c r="AJ252" s="4" t="b">
        <f aca="false">FALSE()</f>
        <v>0</v>
      </c>
      <c r="AK252" s="4" t="b">
        <f aca="false">FALSE()</f>
        <v>0</v>
      </c>
      <c r="AL252" s="0" t="s">
        <v>1121</v>
      </c>
      <c r="AM252" s="0" t="n">
        <v>2.4681</v>
      </c>
      <c r="AN252" s="0" t="n">
        <v>-2.3989</v>
      </c>
      <c r="AO252" s="0" t="n">
        <v>5.0054</v>
      </c>
      <c r="AP252" s="0" t="n">
        <v>-4.7287</v>
      </c>
      <c r="AQ252" s="0" t="n">
        <v>10.2875</v>
      </c>
      <c r="AR252" s="0" t="n">
        <v>-9.1806</v>
      </c>
    </row>
    <row r="253" customFormat="false" ht="15" hidden="false" customHeight="false" outlineLevel="0" collapsed="false">
      <c r="A253" s="0" t="s">
        <v>1122</v>
      </c>
      <c r="B253" s="0" t="s">
        <v>1123</v>
      </c>
      <c r="C253" s="0" t="s">
        <v>1117</v>
      </c>
      <c r="D253" s="0" t="s">
        <v>59</v>
      </c>
      <c r="E253" s="0" t="s">
        <v>60</v>
      </c>
      <c r="F253" s="0" t="s">
        <v>1118</v>
      </c>
      <c r="G253" s="0" t="n">
        <v>100</v>
      </c>
      <c r="H253" s="0" t="n">
        <v>0.0194</v>
      </c>
      <c r="I253" s="0" t="n">
        <v>2</v>
      </c>
      <c r="J253" s="0" t="s">
        <v>62</v>
      </c>
      <c r="K253" s="0" t="s">
        <v>1124</v>
      </c>
      <c r="L253" s="0" t="s">
        <v>1125</v>
      </c>
      <c r="M253" s="0" t="s">
        <v>65</v>
      </c>
      <c r="N253" s="0" t="n">
        <v>17.1335</v>
      </c>
      <c r="O253" s="0" t="n">
        <v>24</v>
      </c>
      <c r="P253" s="0" t="n">
        <v>0.0401</v>
      </c>
      <c r="Q253" s="0" t="n">
        <v>74.6633</v>
      </c>
      <c r="R253" s="0" t="n">
        <v>0.0731</v>
      </c>
      <c r="S253" s="0" t="n">
        <v>74.9027</v>
      </c>
      <c r="T253" s="0" t="n">
        <v>14.0747</v>
      </c>
      <c r="U253" s="0" t="n">
        <v>13.798</v>
      </c>
      <c r="V253" s="0" t="n">
        <v>221.9747</v>
      </c>
      <c r="W253" s="0" t="n">
        <v>0.103</v>
      </c>
      <c r="X253" s="0" t="n">
        <v>13.798</v>
      </c>
      <c r="Y253" s="0" t="n">
        <v>221.9747</v>
      </c>
      <c r="Z253" s="0" t="n">
        <v>0</v>
      </c>
      <c r="AA253" s="0" t="n">
        <v>0</v>
      </c>
      <c r="AB253" s="0" t="n">
        <v>5</v>
      </c>
      <c r="AC253" s="0" t="s">
        <v>86</v>
      </c>
      <c r="AD253" s="0" t="n">
        <v>50</v>
      </c>
      <c r="AE253" s="0" t="n">
        <v>37.33</v>
      </c>
      <c r="AF253" s="0" t="n">
        <v>3927.12</v>
      </c>
      <c r="AG253" s="0" t="n">
        <v>0.000122</v>
      </c>
      <c r="AH253" s="4" t="b">
        <f aca="false">FALSE()</f>
        <v>0</v>
      </c>
      <c r="AJ253" s="4" t="b">
        <f aca="false">FALSE()</f>
        <v>0</v>
      </c>
      <c r="AK253" s="4" t="b">
        <f aca="false">FALSE()</f>
        <v>0</v>
      </c>
      <c r="AL253" s="0" t="s">
        <v>1121</v>
      </c>
      <c r="AM253" s="0" t="n">
        <v>5.3582</v>
      </c>
      <c r="AN253" s="0" t="n">
        <v>-4.9439</v>
      </c>
      <c r="AO253" s="0" t="n">
        <v>11.1307</v>
      </c>
      <c r="AP253" s="0" t="n">
        <v>-9.4734</v>
      </c>
      <c r="AQ253" s="0" t="n">
        <v>23.9188</v>
      </c>
      <c r="AR253" s="0" t="n">
        <v>-17.2894</v>
      </c>
    </row>
    <row r="254" customFormat="false" ht="15" hidden="false" customHeight="false" outlineLevel="0" collapsed="false">
      <c r="A254" s="0" t="s">
        <v>1126</v>
      </c>
      <c r="B254" s="0" t="s">
        <v>1127</v>
      </c>
      <c r="C254" s="0" t="s">
        <v>1117</v>
      </c>
      <c r="D254" s="0" t="s">
        <v>59</v>
      </c>
      <c r="E254" s="0" t="s">
        <v>60</v>
      </c>
      <c r="F254" s="0" t="s">
        <v>1118</v>
      </c>
      <c r="G254" s="0" t="n">
        <v>100</v>
      </c>
      <c r="H254" s="0" t="n">
        <v>0.0193</v>
      </c>
      <c r="I254" s="0" t="n">
        <v>2</v>
      </c>
      <c r="J254" s="0" t="s">
        <v>62</v>
      </c>
      <c r="K254" s="0" t="s">
        <v>1128</v>
      </c>
      <c r="L254" s="0" t="s">
        <v>1129</v>
      </c>
      <c r="M254" s="0" t="s">
        <v>65</v>
      </c>
      <c r="N254" s="0" t="n">
        <v>12.564</v>
      </c>
      <c r="O254" s="0" t="n">
        <v>14</v>
      </c>
      <c r="P254" s="0" t="n">
        <v>0.0438</v>
      </c>
      <c r="Q254" s="0" t="n">
        <v>76.6088</v>
      </c>
      <c r="R254" s="0" t="n">
        <v>0.4322</v>
      </c>
      <c r="S254" s="0" t="n">
        <v>76.7295</v>
      </c>
      <c r="T254" s="0" t="n">
        <v>10.922</v>
      </c>
      <c r="U254" s="0" t="n">
        <v>10.6879</v>
      </c>
      <c r="V254" s="0" t="n">
        <v>129.9414</v>
      </c>
      <c r="W254" s="0" t="n">
        <v>0.0819</v>
      </c>
      <c r="X254" s="0" t="n">
        <v>10.6879</v>
      </c>
      <c r="Y254" s="0" t="n">
        <v>129.9414</v>
      </c>
      <c r="Z254" s="0" t="n">
        <v>0</v>
      </c>
      <c r="AA254" s="0" t="n">
        <v>0</v>
      </c>
      <c r="AB254" s="0" t="n">
        <v>7</v>
      </c>
      <c r="AC254" s="0" t="s">
        <v>152</v>
      </c>
      <c r="AD254" s="0" t="n">
        <v>100</v>
      </c>
      <c r="AE254" s="0" t="n">
        <v>76.61</v>
      </c>
      <c r="AF254" s="0" t="n">
        <v>8059.37</v>
      </c>
      <c r="AG254" s="0" t="n">
        <v>0.000251</v>
      </c>
      <c r="AH254" s="4" t="b">
        <f aca="false">FALSE()</f>
        <v>0</v>
      </c>
      <c r="AJ254" s="4" t="b">
        <f aca="false">FALSE()</f>
        <v>0</v>
      </c>
      <c r="AK254" s="4" t="b">
        <f aca="false">FALSE()</f>
        <v>0</v>
      </c>
      <c r="AL254" s="0" t="s">
        <v>1121</v>
      </c>
      <c r="AM254" s="0" t="n">
        <v>4.2184</v>
      </c>
      <c r="AN254" s="0" t="n">
        <v>-3.9695</v>
      </c>
      <c r="AO254" s="0" t="n">
        <v>8.6856</v>
      </c>
      <c r="AP254" s="0" t="n">
        <v>-7.6901</v>
      </c>
      <c r="AQ254" s="0" t="n">
        <v>18.3667</v>
      </c>
      <c r="AR254" s="0" t="n">
        <v>-14.3848</v>
      </c>
    </row>
    <row r="255" customFormat="false" ht="15" hidden="false" customHeight="false" outlineLevel="0" collapsed="false">
      <c r="A255" s="0" t="s">
        <v>1130</v>
      </c>
      <c r="B255" s="0" t="s">
        <v>1131</v>
      </c>
      <c r="C255" s="0" t="s">
        <v>1117</v>
      </c>
      <c r="D255" s="0" t="s">
        <v>59</v>
      </c>
      <c r="E255" s="0" t="s">
        <v>60</v>
      </c>
      <c r="F255" s="0" t="s">
        <v>1118</v>
      </c>
      <c r="G255" s="0" t="n">
        <v>100</v>
      </c>
      <c r="H255" s="0" t="n">
        <v>0.0282</v>
      </c>
      <c r="I255" s="0" t="n">
        <v>2</v>
      </c>
      <c r="J255" s="0" t="s">
        <v>62</v>
      </c>
      <c r="K255" s="0" t="s">
        <v>1132</v>
      </c>
      <c r="L255" s="0" t="s">
        <v>1133</v>
      </c>
      <c r="M255" s="0" t="s">
        <v>65</v>
      </c>
      <c r="N255" s="0" t="n">
        <v>4.1889</v>
      </c>
      <c r="O255" s="0" t="n">
        <v>8</v>
      </c>
      <c r="P255" s="0" t="n">
        <v>0.0455</v>
      </c>
      <c r="Q255" s="0" t="n">
        <v>93.7379</v>
      </c>
      <c r="R255" s="0" t="n">
        <v>0.66</v>
      </c>
      <c r="S255" s="0" t="n">
        <v>93.8497</v>
      </c>
      <c r="T255" s="0" t="n">
        <v>3.803</v>
      </c>
      <c r="U255" s="0" t="n">
        <v>3.7184</v>
      </c>
      <c r="V255" s="0" t="n">
        <v>16.0844</v>
      </c>
      <c r="W255" s="0" t="n">
        <v>0.0349</v>
      </c>
      <c r="X255" s="0" t="n">
        <v>3.7184</v>
      </c>
      <c r="Y255" s="0" t="n">
        <v>16.0844</v>
      </c>
      <c r="Z255" s="0" t="n">
        <v>0</v>
      </c>
      <c r="AA255" s="0" t="n">
        <v>0</v>
      </c>
      <c r="AB255" s="0" t="n">
        <v>-4</v>
      </c>
      <c r="AC255" s="0" t="s">
        <v>230</v>
      </c>
      <c r="AD255" s="0" t="n">
        <v>200</v>
      </c>
      <c r="AE255" s="0" t="n">
        <v>187.48</v>
      </c>
      <c r="AF255" s="0" t="n">
        <v>19722.9</v>
      </c>
      <c r="AG255" s="0" t="n">
        <v>0.000615</v>
      </c>
      <c r="AH255" s="4" t="b">
        <f aca="false">FALSE()</f>
        <v>0</v>
      </c>
      <c r="AJ255" s="4" t="b">
        <f aca="false">FALSE()</f>
        <v>0</v>
      </c>
      <c r="AK255" s="4" t="b">
        <f aca="false">FALSE()</f>
        <v>0</v>
      </c>
      <c r="AL255" s="0" t="s">
        <v>1121</v>
      </c>
      <c r="AM255" s="0" t="n">
        <v>1.7616</v>
      </c>
      <c r="AN255" s="0" t="n">
        <v>-1.7239</v>
      </c>
      <c r="AO255" s="0" t="n">
        <v>3.5609</v>
      </c>
      <c r="AP255" s="0" t="n">
        <v>-3.4102</v>
      </c>
      <c r="AQ255" s="0" t="n">
        <v>7.2726</v>
      </c>
      <c r="AR255" s="0" t="n">
        <v>-6.6696</v>
      </c>
    </row>
    <row r="256" customFormat="false" ht="15" hidden="false" customHeight="false" outlineLevel="0" collapsed="false">
      <c r="A256" s="0" t="s">
        <v>1134</v>
      </c>
      <c r="B256" s="0" t="s">
        <v>1135</v>
      </c>
      <c r="C256" s="0" t="s">
        <v>1117</v>
      </c>
      <c r="D256" s="0" t="s">
        <v>59</v>
      </c>
      <c r="E256" s="0" t="s">
        <v>60</v>
      </c>
      <c r="F256" s="0" t="s">
        <v>1118</v>
      </c>
      <c r="G256" s="0" t="n">
        <v>100</v>
      </c>
      <c r="H256" s="0" t="n">
        <v>0.0441</v>
      </c>
      <c r="I256" s="0" t="n">
        <v>2</v>
      </c>
      <c r="J256" s="0" t="s">
        <v>62</v>
      </c>
      <c r="K256" s="0" t="s">
        <v>1136</v>
      </c>
      <c r="L256" s="0" t="s">
        <v>1137</v>
      </c>
      <c r="M256" s="0" t="s">
        <v>65</v>
      </c>
      <c r="N256" s="0" t="n">
        <v>3.436</v>
      </c>
      <c r="O256" s="0" t="n">
        <v>9</v>
      </c>
      <c r="P256" s="0" t="n">
        <v>0.0426</v>
      </c>
      <c r="Q256" s="0" t="n">
        <v>100.4183</v>
      </c>
      <c r="R256" s="0" t="n">
        <v>0.8758</v>
      </c>
      <c r="S256" s="0" t="n">
        <v>101.0629</v>
      </c>
      <c r="T256" s="0" t="n">
        <v>2.8432</v>
      </c>
      <c r="U256" s="0" t="n">
        <v>2.7839</v>
      </c>
      <c r="V256" s="0" t="n">
        <v>9.3673</v>
      </c>
      <c r="W256" s="0" t="n">
        <v>0.028</v>
      </c>
      <c r="X256" s="0" t="n">
        <v>2.7839</v>
      </c>
      <c r="Y256" s="0" t="n">
        <v>9.3673</v>
      </c>
      <c r="Z256" s="0" t="n">
        <v>0</v>
      </c>
      <c r="AA256" s="0" t="n">
        <v>0</v>
      </c>
      <c r="AB256" s="0" t="n">
        <v>7</v>
      </c>
      <c r="AC256" s="0" t="s">
        <v>230</v>
      </c>
      <c r="AD256" s="0" t="n">
        <v>100</v>
      </c>
      <c r="AE256" s="0" t="n">
        <v>100.42</v>
      </c>
      <c r="AF256" s="0" t="n">
        <v>10564.18</v>
      </c>
      <c r="AG256" s="0" t="n">
        <v>0.00033</v>
      </c>
      <c r="AH256" s="4" t="b">
        <f aca="false">FALSE()</f>
        <v>0</v>
      </c>
      <c r="AJ256" s="4" t="b">
        <f aca="false">FALSE()</f>
        <v>0</v>
      </c>
      <c r="AK256" s="4" t="b">
        <f aca="false">FALSE()</f>
        <v>0</v>
      </c>
      <c r="AL256" s="0" t="s">
        <v>1121</v>
      </c>
      <c r="AM256" s="0" t="n">
        <v>1.4095</v>
      </c>
      <c r="AN256" s="0" t="n">
        <v>-1.386</v>
      </c>
      <c r="AO256" s="0" t="n">
        <v>2.8426</v>
      </c>
      <c r="AP256" s="0" t="n">
        <v>-2.7485</v>
      </c>
      <c r="AQ256" s="0" t="n">
        <v>5.7792</v>
      </c>
      <c r="AR256" s="0" t="n">
        <v>-5.403</v>
      </c>
    </row>
    <row r="257" customFormat="false" ht="15" hidden="false" customHeight="false" outlineLevel="0" collapsed="false">
      <c r="A257" s="0" t="s">
        <v>1138</v>
      </c>
      <c r="B257" s="0" t="s">
        <v>1139</v>
      </c>
      <c r="C257" s="0" t="s">
        <v>1117</v>
      </c>
      <c r="D257" s="0" t="s">
        <v>59</v>
      </c>
      <c r="E257" s="0" t="s">
        <v>60</v>
      </c>
      <c r="F257" s="0" t="s">
        <v>1118</v>
      </c>
      <c r="G257" s="0" t="n">
        <v>100</v>
      </c>
      <c r="H257" s="0" t="n">
        <v>0.0155</v>
      </c>
      <c r="I257" s="0" t="n">
        <v>2</v>
      </c>
      <c r="J257" s="0" t="s">
        <v>62</v>
      </c>
      <c r="K257" s="0" t="s">
        <v>1140</v>
      </c>
      <c r="L257" s="0" t="s">
        <v>1141</v>
      </c>
      <c r="M257" s="0" t="s">
        <v>65</v>
      </c>
      <c r="N257" s="0" t="n">
        <v>1.4428</v>
      </c>
      <c r="O257" s="0" t="n">
        <v>4</v>
      </c>
      <c r="P257" s="0" t="n">
        <v>0.0427</v>
      </c>
      <c r="Q257" s="0" t="n">
        <v>97.3647</v>
      </c>
      <c r="R257" s="0" t="n">
        <v>0.2422</v>
      </c>
      <c r="S257" s="0" t="n">
        <v>97.3879</v>
      </c>
      <c r="T257" s="0" t="n">
        <v>0.9961</v>
      </c>
      <c r="U257" s="0" t="n">
        <v>0.9753</v>
      </c>
      <c r="V257" s="0" t="n">
        <v>1.4305</v>
      </c>
      <c r="W257" s="0" t="n">
        <v>0.0095</v>
      </c>
      <c r="X257" s="0" t="n">
        <v>0.9753</v>
      </c>
      <c r="Y257" s="0" t="n">
        <v>1.4305</v>
      </c>
      <c r="Z257" s="0" t="n">
        <v>0</v>
      </c>
      <c r="AA257" s="0" t="n">
        <v>0</v>
      </c>
      <c r="AB257" s="0" t="n">
        <v>-1</v>
      </c>
      <c r="AC257" s="0" t="s">
        <v>91</v>
      </c>
      <c r="AD257" s="0" t="n">
        <v>5000</v>
      </c>
      <c r="AE257" s="0" t="n">
        <v>4868.23</v>
      </c>
      <c r="AF257" s="0" t="n">
        <v>512137.8</v>
      </c>
      <c r="AG257" s="0" t="n">
        <v>0.015975</v>
      </c>
      <c r="AH257" s="4" t="b">
        <f aca="false">FALSE()</f>
        <v>0</v>
      </c>
      <c r="AJ257" s="4" t="b">
        <f aca="false">FALSE()</f>
        <v>0</v>
      </c>
      <c r="AK257" s="4" t="b">
        <f aca="false">FALSE()</f>
        <v>0</v>
      </c>
      <c r="AL257" s="0" t="s">
        <v>1121</v>
      </c>
      <c r="AM257" s="0" t="n">
        <v>0.4765</v>
      </c>
      <c r="AN257" s="0" t="n">
        <v>-0.4731</v>
      </c>
      <c r="AO257" s="0" t="n">
        <v>0.9566</v>
      </c>
      <c r="AP257" s="0" t="n">
        <v>-0.9426</v>
      </c>
      <c r="AQ257" s="0" t="n">
        <v>1.9271</v>
      </c>
      <c r="AR257" s="0" t="n">
        <v>-1.8713</v>
      </c>
    </row>
    <row r="258" customFormat="false" ht="15" hidden="false" customHeight="false" outlineLevel="0" collapsed="false">
      <c r="A258" s="0" t="s">
        <v>1142</v>
      </c>
      <c r="B258" s="0" t="s">
        <v>1143</v>
      </c>
      <c r="C258" s="0" t="s">
        <v>1117</v>
      </c>
      <c r="D258" s="0" t="s">
        <v>59</v>
      </c>
      <c r="E258" s="0" t="s">
        <v>60</v>
      </c>
      <c r="F258" s="0" t="s">
        <v>1118</v>
      </c>
      <c r="G258" s="0" t="n">
        <v>100</v>
      </c>
      <c r="H258" s="0" t="n">
        <v>0.0107</v>
      </c>
      <c r="I258" s="0" t="n">
        <v>2</v>
      </c>
      <c r="J258" s="0" t="s">
        <v>62</v>
      </c>
      <c r="K258" s="0" t="s">
        <v>644</v>
      </c>
      <c r="L258" s="0" t="s">
        <v>1144</v>
      </c>
      <c r="M258" s="0" t="s">
        <v>65</v>
      </c>
      <c r="N258" s="0" t="n">
        <v>8.8378</v>
      </c>
      <c r="O258" s="0" t="n">
        <v>14</v>
      </c>
      <c r="P258" s="0" t="n">
        <v>0.0411</v>
      </c>
      <c r="Q258" s="0" t="n">
        <v>78.3759</v>
      </c>
      <c r="R258" s="0" t="n">
        <v>0.1298</v>
      </c>
      <c r="S258" s="0" t="n">
        <v>78.4929</v>
      </c>
      <c r="T258" s="0" t="n">
        <v>8.0879</v>
      </c>
      <c r="U258" s="0" t="n">
        <v>7.925</v>
      </c>
      <c r="V258" s="0" t="n">
        <v>68.7611</v>
      </c>
      <c r="W258" s="0" t="n">
        <v>0.0621</v>
      </c>
      <c r="X258" s="0" t="n">
        <v>7.925</v>
      </c>
      <c r="Y258" s="0" t="n">
        <v>68.7611</v>
      </c>
      <c r="Z258" s="0" t="n">
        <v>0</v>
      </c>
      <c r="AA258" s="0" t="n">
        <v>0</v>
      </c>
      <c r="AB258" s="0" t="n">
        <v>4</v>
      </c>
      <c r="AC258" s="0" t="s">
        <v>210</v>
      </c>
      <c r="AD258" s="0" t="n">
        <v>50</v>
      </c>
      <c r="AE258" s="0" t="n">
        <v>39.19</v>
      </c>
      <c r="AF258" s="0" t="n">
        <v>4122.79</v>
      </c>
      <c r="AG258" s="0" t="n">
        <v>0.000129</v>
      </c>
      <c r="AH258" s="4" t="b">
        <f aca="false">FALSE()</f>
        <v>0</v>
      </c>
      <c r="AJ258" s="4" t="b">
        <f aca="false">FALSE()</f>
        <v>0</v>
      </c>
      <c r="AK258" s="4" t="b">
        <f aca="false">FALSE()</f>
        <v>0</v>
      </c>
      <c r="AL258" s="0" t="s">
        <v>1121</v>
      </c>
      <c r="AM258" s="0" t="n">
        <v>3.173</v>
      </c>
      <c r="AN258" s="0" t="n">
        <v>-3.0383</v>
      </c>
      <c r="AO258" s="0" t="n">
        <v>6.4808</v>
      </c>
      <c r="AP258" s="0" t="n">
        <v>-5.9418</v>
      </c>
      <c r="AQ258" s="0" t="n">
        <v>13.5004</v>
      </c>
      <c r="AR258" s="0" t="n">
        <v>-11.3447</v>
      </c>
    </row>
    <row r="259" customFormat="false" ht="15" hidden="false" customHeight="false" outlineLevel="0" collapsed="false">
      <c r="A259" s="0" t="s">
        <v>1145</v>
      </c>
      <c r="B259" s="0" t="s">
        <v>1146</v>
      </c>
      <c r="C259" s="0" t="s">
        <v>1117</v>
      </c>
      <c r="D259" s="0" t="s">
        <v>59</v>
      </c>
      <c r="E259" s="0" t="s">
        <v>60</v>
      </c>
      <c r="F259" s="0" t="s">
        <v>1118</v>
      </c>
      <c r="G259" s="0" t="n">
        <v>100</v>
      </c>
      <c r="H259" s="0" t="n">
        <v>0.0404</v>
      </c>
      <c r="I259" s="0" t="n">
        <v>2</v>
      </c>
      <c r="J259" s="0" t="s">
        <v>62</v>
      </c>
      <c r="K259" s="0" t="s">
        <v>1147</v>
      </c>
      <c r="L259" s="0" t="s">
        <v>1148</v>
      </c>
      <c r="M259" s="0" t="s">
        <v>65</v>
      </c>
      <c r="N259" s="0" t="n">
        <v>7.2361</v>
      </c>
      <c r="O259" s="0" t="n">
        <v>21</v>
      </c>
      <c r="P259" s="0" t="n">
        <v>0.0444</v>
      </c>
      <c r="Q259" s="0" t="n">
        <v>97.6158</v>
      </c>
      <c r="R259" s="0" t="n">
        <v>0.5364</v>
      </c>
      <c r="S259" s="0" t="n">
        <v>98.0697</v>
      </c>
      <c r="T259" s="0" t="n">
        <v>6.1543</v>
      </c>
      <c r="U259" s="0" t="n">
        <v>6.0206</v>
      </c>
      <c r="V259" s="0" t="n">
        <v>42.2382</v>
      </c>
      <c r="W259" s="0" t="n">
        <v>0.0588</v>
      </c>
      <c r="X259" s="0" t="n">
        <v>6.0206</v>
      </c>
      <c r="Y259" s="0" t="n">
        <v>42.2382</v>
      </c>
      <c r="Z259" s="0" t="n">
        <v>0</v>
      </c>
      <c r="AA259" s="0" t="n">
        <v>0</v>
      </c>
      <c r="AB259" s="0" t="n">
        <v>3</v>
      </c>
      <c r="AC259" s="0" t="s">
        <v>210</v>
      </c>
      <c r="AD259" s="0" t="n">
        <v>50</v>
      </c>
      <c r="AE259" s="0" t="n">
        <v>48.81</v>
      </c>
      <c r="AF259" s="0" t="n">
        <v>5134.81</v>
      </c>
      <c r="AG259" s="0" t="n">
        <v>0.00016</v>
      </c>
      <c r="AH259" s="4" t="b">
        <f aca="false">FALSE()</f>
        <v>0</v>
      </c>
      <c r="AJ259" s="4" t="b">
        <f aca="false">FALSE()</f>
        <v>0</v>
      </c>
      <c r="AK259" s="4" t="b">
        <f aca="false">FALSE()</f>
        <v>0</v>
      </c>
      <c r="AL259" s="0" t="s">
        <v>1121</v>
      </c>
      <c r="AM259" s="0" t="n">
        <v>2.9901</v>
      </c>
      <c r="AN259" s="0" t="n">
        <v>-2.887</v>
      </c>
      <c r="AO259" s="0" t="n">
        <v>6.0832</v>
      </c>
      <c r="AP259" s="0" t="n">
        <v>-5.6709</v>
      </c>
      <c r="AQ259" s="0" t="n">
        <v>12.5787</v>
      </c>
      <c r="AR259" s="0" t="n">
        <v>-10.9295</v>
      </c>
    </row>
    <row r="260" customFormat="false" ht="15" hidden="false" customHeight="false" outlineLevel="0" collapsed="false">
      <c r="A260" s="0" t="s">
        <v>1149</v>
      </c>
      <c r="B260" s="0" t="s">
        <v>1150</v>
      </c>
      <c r="C260" s="0" t="s">
        <v>1117</v>
      </c>
      <c r="D260" s="0" t="s">
        <v>59</v>
      </c>
      <c r="E260" s="0" t="s">
        <v>60</v>
      </c>
      <c r="F260" s="0" t="s">
        <v>1118</v>
      </c>
      <c r="G260" s="0" t="n">
        <v>100</v>
      </c>
      <c r="H260" s="0" t="n">
        <v>0.0372</v>
      </c>
      <c r="I260" s="0" t="n">
        <v>2</v>
      </c>
      <c r="J260" s="0" t="s">
        <v>62</v>
      </c>
      <c r="K260" s="0" t="s">
        <v>1151</v>
      </c>
      <c r="L260" s="0" t="s">
        <v>1152</v>
      </c>
      <c r="M260" s="0" t="s">
        <v>65</v>
      </c>
      <c r="N260" s="0" t="n">
        <v>5.9329</v>
      </c>
      <c r="O260" s="0" t="n">
        <v>9</v>
      </c>
      <c r="P260" s="0" t="n">
        <v>0.0405</v>
      </c>
      <c r="Q260" s="0" t="n">
        <v>98.3875</v>
      </c>
      <c r="R260" s="0" t="n">
        <v>0.7617</v>
      </c>
      <c r="S260" s="0" t="n">
        <v>98.5641</v>
      </c>
      <c r="T260" s="0" t="n">
        <v>5.0196</v>
      </c>
      <c r="U260" s="0" t="n">
        <v>4.92</v>
      </c>
      <c r="V260" s="0" t="n">
        <v>28.0383</v>
      </c>
      <c r="W260" s="0" t="n">
        <v>0.0484</v>
      </c>
      <c r="X260" s="0" t="n">
        <v>4.92</v>
      </c>
      <c r="Y260" s="0" t="n">
        <v>28.0383</v>
      </c>
      <c r="Z260" s="0" t="n">
        <v>0</v>
      </c>
      <c r="AA260" s="0" t="n">
        <v>0</v>
      </c>
      <c r="AB260" s="0" t="n">
        <v>10</v>
      </c>
      <c r="AC260" s="0" t="s">
        <v>77</v>
      </c>
      <c r="AD260" s="0" t="n">
        <v>1000</v>
      </c>
      <c r="AE260" s="0" t="n">
        <v>983.88</v>
      </c>
      <c r="AF260" s="0" t="n">
        <v>103504.18</v>
      </c>
      <c r="AG260" s="0" t="n">
        <v>0.003229</v>
      </c>
      <c r="AH260" s="4" t="b">
        <f aca="false">FALSE()</f>
        <v>0</v>
      </c>
      <c r="AJ260" s="4" t="b">
        <f aca="false">FALSE()</f>
        <v>0</v>
      </c>
      <c r="AK260" s="4" t="b">
        <f aca="false">FALSE()</f>
        <v>0</v>
      </c>
      <c r="AL260" s="0" t="s">
        <v>1121</v>
      </c>
      <c r="AM260" s="0" t="n">
        <v>2.4548</v>
      </c>
      <c r="AN260" s="0" t="n">
        <v>-2.3858</v>
      </c>
      <c r="AO260" s="0" t="n">
        <v>4.9786</v>
      </c>
      <c r="AP260" s="0" t="n">
        <v>-4.7027</v>
      </c>
      <c r="AQ260" s="0" t="n">
        <v>10.2331</v>
      </c>
      <c r="AR260" s="0" t="n">
        <v>-9.1296</v>
      </c>
    </row>
    <row r="261" customFormat="false" ht="15" hidden="false" customHeight="false" outlineLevel="0" collapsed="false">
      <c r="A261" s="0" t="s">
        <v>1153</v>
      </c>
      <c r="B261" s="0" t="s">
        <v>1154</v>
      </c>
      <c r="C261" s="0" t="s">
        <v>1117</v>
      </c>
      <c r="D261" s="0" t="s">
        <v>59</v>
      </c>
      <c r="E261" s="0" t="s">
        <v>60</v>
      </c>
      <c r="F261" s="0" t="s">
        <v>1118</v>
      </c>
      <c r="G261" s="0" t="n">
        <v>100</v>
      </c>
      <c r="H261" s="0" t="n">
        <v>0.0331</v>
      </c>
      <c r="I261" s="0" t="n">
        <v>2</v>
      </c>
      <c r="J261" s="0" t="s">
        <v>62</v>
      </c>
      <c r="K261" s="0" t="s">
        <v>1155</v>
      </c>
      <c r="L261" s="0" t="s">
        <v>1156</v>
      </c>
      <c r="M261" s="0" t="s">
        <v>65</v>
      </c>
      <c r="N261" s="0" t="n">
        <v>0.8296</v>
      </c>
      <c r="O261" s="0" t="n">
        <v>3</v>
      </c>
      <c r="P261" s="0" t="n">
        <v>0.041</v>
      </c>
      <c r="Q261" s="0" t="n">
        <v>99.6129</v>
      </c>
      <c r="R261" s="0" t="n">
        <v>0.0259</v>
      </c>
      <c r="S261" s="0" t="n">
        <v>99.7015</v>
      </c>
      <c r="T261" s="0" t="n">
        <v>0.5</v>
      </c>
      <c r="U261" s="0" t="n">
        <v>0.49</v>
      </c>
      <c r="V261" s="0" t="n">
        <v>0.4801</v>
      </c>
      <c r="W261" s="0" t="n">
        <v>0.0049</v>
      </c>
      <c r="X261" s="0" t="n">
        <v>0.49</v>
      </c>
      <c r="Y261" s="0" t="n">
        <v>0.4801</v>
      </c>
      <c r="Z261" s="0" t="n">
        <v>0</v>
      </c>
      <c r="AA261" s="0" t="n">
        <v>0</v>
      </c>
      <c r="AB261" s="0" t="n">
        <v>1</v>
      </c>
      <c r="AC261" s="0" t="s">
        <v>173</v>
      </c>
      <c r="AD261" s="0" t="n">
        <v>5000</v>
      </c>
      <c r="AE261" s="0" t="n">
        <v>4980.65</v>
      </c>
      <c r="AF261" s="0" t="n">
        <v>523964.38</v>
      </c>
      <c r="AG261" s="0" t="n">
        <v>0.016344</v>
      </c>
      <c r="AH261" s="4" t="b">
        <f aca="false">FALSE()</f>
        <v>0</v>
      </c>
      <c r="AJ261" s="4" t="b">
        <f aca="false">FALSE()</f>
        <v>0</v>
      </c>
      <c r="AK261" s="4" t="b">
        <f aca="false">FALSE()</f>
        <v>0</v>
      </c>
      <c r="AL261" s="0" t="s">
        <v>1121</v>
      </c>
      <c r="AM261" s="0" t="n">
        <v>0.2446</v>
      </c>
      <c r="AN261" s="0" t="n">
        <v>-0.2435</v>
      </c>
      <c r="AO261" s="0" t="n">
        <v>0.4905</v>
      </c>
      <c r="AP261" s="0" t="n">
        <v>-0.4857</v>
      </c>
      <c r="AQ261" s="0" t="n">
        <v>0.9858</v>
      </c>
      <c r="AR261" s="0" t="n">
        <v>-0.9666</v>
      </c>
    </row>
    <row r="262" customFormat="false" ht="15" hidden="false" customHeight="false" outlineLevel="0" collapsed="false">
      <c r="A262" s="0" t="s">
        <v>1157</v>
      </c>
      <c r="B262" s="0" t="s">
        <v>1158</v>
      </c>
      <c r="C262" s="0" t="s">
        <v>1117</v>
      </c>
      <c r="D262" s="0" t="s">
        <v>59</v>
      </c>
      <c r="E262" s="0" t="s">
        <v>60</v>
      </c>
      <c r="F262" s="0" t="s">
        <v>1118</v>
      </c>
      <c r="G262" s="0" t="n">
        <v>100</v>
      </c>
      <c r="H262" s="0" t="n">
        <v>0.0228</v>
      </c>
      <c r="I262" s="0" t="n">
        <v>2</v>
      </c>
      <c r="J262" s="0" t="s">
        <v>62</v>
      </c>
      <c r="K262" s="0" t="s">
        <v>1159</v>
      </c>
      <c r="L262" s="0" t="s">
        <v>1160</v>
      </c>
      <c r="M262" s="0" t="s">
        <v>65</v>
      </c>
      <c r="N262" s="0" t="n">
        <v>10.0862</v>
      </c>
      <c r="O262" s="0" t="n">
        <v>21</v>
      </c>
      <c r="P262" s="0" t="n">
        <v>0.0401</v>
      </c>
      <c r="Q262" s="0" t="n">
        <v>85.8628</v>
      </c>
      <c r="R262" s="0" t="n">
        <v>0.3738</v>
      </c>
      <c r="S262" s="0" t="n">
        <v>86.392</v>
      </c>
      <c r="T262" s="0" t="n">
        <v>8.8979</v>
      </c>
      <c r="U262" s="0" t="n">
        <v>8.723</v>
      </c>
      <c r="V262" s="0" t="n">
        <v>86.2984</v>
      </c>
      <c r="W262" s="0" t="n">
        <v>0.0749</v>
      </c>
      <c r="X262" s="0" t="n">
        <v>8.723</v>
      </c>
      <c r="Y262" s="0" t="n">
        <v>86.2984</v>
      </c>
      <c r="Z262" s="0" t="n">
        <v>0</v>
      </c>
      <c r="AA262" s="0" t="n">
        <v>0</v>
      </c>
      <c r="AB262" s="0" t="n">
        <v>-3</v>
      </c>
      <c r="AC262" s="0" t="s">
        <v>152</v>
      </c>
      <c r="AD262" s="0" t="n">
        <v>100</v>
      </c>
      <c r="AE262" s="0" t="n">
        <v>85.86</v>
      </c>
      <c r="AF262" s="0" t="n">
        <v>9032.47</v>
      </c>
      <c r="AG262" s="0" t="n">
        <v>0.000282</v>
      </c>
      <c r="AH262" s="4" t="b">
        <f aca="false">FALSE()</f>
        <v>0</v>
      </c>
      <c r="AJ262" s="4" t="b">
        <f aca="false">FALSE()</f>
        <v>0</v>
      </c>
      <c r="AK262" s="4" t="b">
        <f aca="false">FALSE()</f>
        <v>0</v>
      </c>
      <c r="AL262" s="0" t="s">
        <v>1121</v>
      </c>
      <c r="AM262" s="0" t="n">
        <v>3.8375</v>
      </c>
      <c r="AN262" s="0" t="n">
        <v>-3.6523</v>
      </c>
      <c r="AO262" s="0" t="n">
        <v>7.8603</v>
      </c>
      <c r="AP262" s="0" t="n">
        <v>-7.1193</v>
      </c>
      <c r="AQ262" s="0" t="n">
        <v>16.4616</v>
      </c>
      <c r="AR262" s="0" t="n">
        <v>-13.4977</v>
      </c>
    </row>
    <row r="263" customFormat="false" ht="15" hidden="false" customHeight="false" outlineLevel="0" collapsed="false">
      <c r="A263" s="0" t="s">
        <v>1161</v>
      </c>
      <c r="B263" s="0" t="s">
        <v>1162</v>
      </c>
      <c r="C263" s="0" t="s">
        <v>1117</v>
      </c>
      <c r="D263" s="0" t="s">
        <v>59</v>
      </c>
      <c r="E263" s="0" t="s">
        <v>60</v>
      </c>
      <c r="F263" s="0" t="s">
        <v>1118</v>
      </c>
      <c r="G263" s="0" t="n">
        <v>100</v>
      </c>
      <c r="H263" s="0" t="n">
        <v>0.0114</v>
      </c>
      <c r="I263" s="0" t="n">
        <v>2</v>
      </c>
      <c r="J263" s="0" t="s">
        <v>62</v>
      </c>
      <c r="K263" s="0" t="s">
        <v>1163</v>
      </c>
      <c r="L263" s="0" t="s">
        <v>1164</v>
      </c>
      <c r="M263" s="0" t="s">
        <v>65</v>
      </c>
      <c r="N263" s="0" t="n">
        <v>0.9966</v>
      </c>
      <c r="O263" s="0" t="n">
        <v>4</v>
      </c>
      <c r="P263" s="0" t="n">
        <v>0.0406</v>
      </c>
      <c r="Q263" s="0" t="n">
        <v>98.569</v>
      </c>
      <c r="R263" s="0" t="n">
        <v>0.2738</v>
      </c>
      <c r="S263" s="0" t="n">
        <v>98.5967</v>
      </c>
      <c r="T263" s="0" t="n">
        <v>0.5</v>
      </c>
      <c r="U263" s="0" t="n">
        <v>0.4901</v>
      </c>
      <c r="V263" s="0" t="n">
        <v>0.4803</v>
      </c>
      <c r="W263" s="0" t="n">
        <v>0.0048</v>
      </c>
      <c r="X263" s="0" t="n">
        <v>0.4901</v>
      </c>
      <c r="Y263" s="0" t="n">
        <v>0.4803</v>
      </c>
      <c r="Z263" s="0" t="n">
        <v>0</v>
      </c>
      <c r="AA263" s="0" t="n">
        <v>0</v>
      </c>
      <c r="AB263" s="0" t="n">
        <v>2</v>
      </c>
      <c r="AC263" s="0" t="s">
        <v>173</v>
      </c>
      <c r="AD263" s="0" t="n">
        <v>100</v>
      </c>
      <c r="AE263" s="0" t="n">
        <v>98.57</v>
      </c>
      <c r="AF263" s="0" t="n">
        <v>10369.56</v>
      </c>
      <c r="AG263" s="0" t="n">
        <v>0.000323</v>
      </c>
      <c r="AH263" s="4" t="b">
        <f aca="false">FALSE()</f>
        <v>0</v>
      </c>
      <c r="AJ263" s="4" t="b">
        <f aca="false">FALSE()</f>
        <v>0</v>
      </c>
      <c r="AK263" s="4" t="b">
        <f aca="false">FALSE()</f>
        <v>0</v>
      </c>
      <c r="AL263" s="0" t="s">
        <v>1121</v>
      </c>
      <c r="AM263" s="0" t="n">
        <v>0.2421</v>
      </c>
      <c r="AN263" s="0" t="n">
        <v>-0.241</v>
      </c>
      <c r="AO263" s="0" t="n">
        <v>0.4855</v>
      </c>
      <c r="AP263" s="0" t="n">
        <v>-0.4807</v>
      </c>
      <c r="AQ263" s="0" t="n">
        <v>0.9756</v>
      </c>
      <c r="AR263" s="0" t="n">
        <v>-0.9567</v>
      </c>
    </row>
    <row r="264" customFormat="false" ht="15" hidden="false" customHeight="false" outlineLevel="0" collapsed="false">
      <c r="A264" s="0" t="s">
        <v>1165</v>
      </c>
      <c r="B264" s="0" t="s">
        <v>1166</v>
      </c>
      <c r="C264" s="0" t="s">
        <v>1117</v>
      </c>
      <c r="D264" s="0" t="s">
        <v>59</v>
      </c>
      <c r="E264" s="0" t="s">
        <v>60</v>
      </c>
      <c r="F264" s="0" t="s">
        <v>1118</v>
      </c>
      <c r="G264" s="0" t="n">
        <v>100</v>
      </c>
      <c r="H264" s="0" t="n">
        <v>0.0245</v>
      </c>
      <c r="I264" s="0" t="n">
        <v>2</v>
      </c>
      <c r="J264" s="0" t="s">
        <v>62</v>
      </c>
      <c r="K264" s="0" t="s">
        <v>1167</v>
      </c>
      <c r="L264" s="0" t="s">
        <v>1168</v>
      </c>
      <c r="M264" s="0" t="s">
        <v>65</v>
      </c>
      <c r="N264" s="0" t="n">
        <v>1.4346</v>
      </c>
      <c r="O264" s="0" t="n">
        <v>5</v>
      </c>
      <c r="P264" s="0" t="n">
        <v>0.0446</v>
      </c>
      <c r="Q264" s="0" t="n">
        <v>98.0553</v>
      </c>
      <c r="R264" s="0" t="n">
        <v>0.281</v>
      </c>
      <c r="S264" s="0" t="n">
        <v>98.4628</v>
      </c>
      <c r="T264" s="0" t="n">
        <v>0.9939</v>
      </c>
      <c r="U264" s="0" t="n">
        <v>0.9722</v>
      </c>
      <c r="V264" s="0" t="n">
        <v>1.4236</v>
      </c>
      <c r="W264" s="0" t="n">
        <v>0.0095</v>
      </c>
      <c r="X264" s="0" t="n">
        <v>0.9722</v>
      </c>
      <c r="Y264" s="0" t="n">
        <v>1.4236</v>
      </c>
      <c r="Z264" s="0" t="n">
        <v>0</v>
      </c>
      <c r="AA264" s="0" t="n">
        <v>0</v>
      </c>
      <c r="AB264" s="0" t="n">
        <v>-2</v>
      </c>
      <c r="AC264" s="0" t="s">
        <v>91</v>
      </c>
      <c r="AD264" s="0" t="n">
        <v>2000</v>
      </c>
      <c r="AE264" s="0" t="n">
        <v>1961.11</v>
      </c>
      <c r="AF264" s="0" t="n">
        <v>206308.77</v>
      </c>
      <c r="AG264" s="0" t="n">
        <v>0.006435</v>
      </c>
      <c r="AH264" s="4" t="b">
        <f aca="false">FALSE()</f>
        <v>0</v>
      </c>
      <c r="AJ264" s="4" t="b">
        <f aca="false">FALSE()</f>
        <v>0</v>
      </c>
      <c r="AK264" s="4" t="b">
        <f aca="false">FALSE()</f>
        <v>0</v>
      </c>
      <c r="AL264" s="0" t="s">
        <v>1121</v>
      </c>
      <c r="AM264" s="0" t="n">
        <v>0.4784</v>
      </c>
      <c r="AN264" s="0" t="n">
        <v>-0.4749</v>
      </c>
      <c r="AO264" s="0" t="n">
        <v>0.9603</v>
      </c>
      <c r="AP264" s="0" t="n">
        <v>-0.9463</v>
      </c>
      <c r="AQ264" s="0" t="n">
        <v>1.9345</v>
      </c>
      <c r="AR264" s="0" t="n">
        <v>-1.8787</v>
      </c>
    </row>
    <row r="265" customFormat="false" ht="15" hidden="false" customHeight="false" outlineLevel="0" collapsed="false">
      <c r="A265" s="0" t="s">
        <v>1169</v>
      </c>
      <c r="B265" s="0" t="s">
        <v>1170</v>
      </c>
      <c r="C265" s="0" t="s">
        <v>1117</v>
      </c>
      <c r="D265" s="0" t="s">
        <v>59</v>
      </c>
      <c r="E265" s="0" t="s">
        <v>60</v>
      </c>
      <c r="F265" s="0" t="s">
        <v>1118</v>
      </c>
      <c r="G265" s="0" t="n">
        <v>100</v>
      </c>
      <c r="H265" s="0" t="n">
        <v>0.0427</v>
      </c>
      <c r="I265" s="0" t="n">
        <v>2</v>
      </c>
      <c r="J265" s="0" t="s">
        <v>62</v>
      </c>
      <c r="K265" s="0" t="s">
        <v>1171</v>
      </c>
      <c r="L265" s="0" t="s">
        <v>1172</v>
      </c>
      <c r="M265" s="0" t="s">
        <v>65</v>
      </c>
      <c r="N265" s="0" t="n">
        <v>24.9144</v>
      </c>
      <c r="O265" s="0" t="n">
        <v>30</v>
      </c>
      <c r="P265" s="0" t="n">
        <v>0.0479</v>
      </c>
      <c r="Q265" s="0" t="n">
        <v>92.5482</v>
      </c>
      <c r="R265" s="0" t="n">
        <v>0.9019</v>
      </c>
      <c r="S265" s="0" t="n">
        <v>92.9884</v>
      </c>
      <c r="T265" s="0" t="n">
        <v>15.035</v>
      </c>
      <c r="U265" s="0" t="n">
        <v>14.6833</v>
      </c>
      <c r="V265" s="0" t="n">
        <v>296.0746</v>
      </c>
      <c r="W265" s="0" t="n">
        <v>0.1359</v>
      </c>
      <c r="X265" s="0" t="n">
        <v>14.6833</v>
      </c>
      <c r="Y265" s="0" t="n">
        <v>296.0746</v>
      </c>
      <c r="Z265" s="0" t="n">
        <v>0</v>
      </c>
      <c r="AA265" s="0" t="n">
        <v>0</v>
      </c>
      <c r="AB265" s="0" t="n">
        <v>8</v>
      </c>
      <c r="AC265" s="0" t="s">
        <v>72</v>
      </c>
      <c r="AD265" s="0" t="n">
        <v>200</v>
      </c>
      <c r="AE265" s="0" t="n">
        <v>185.1</v>
      </c>
      <c r="AF265" s="0" t="n">
        <v>19472.52</v>
      </c>
      <c r="AG265" s="0" t="n">
        <v>0.000607</v>
      </c>
      <c r="AH265" s="4" t="b">
        <f aca="false">FALSE()</f>
        <v>0</v>
      </c>
      <c r="AJ265" s="4" t="b">
        <f aca="false">FALSE()</f>
        <v>0</v>
      </c>
      <c r="AK265" s="4" t="b">
        <f aca="false">FALSE()</f>
        <v>0</v>
      </c>
      <c r="AL265" s="0" t="s">
        <v>1121</v>
      </c>
      <c r="AM265" s="0" t="n">
        <v>7.1371</v>
      </c>
      <c r="AN265" s="0" t="n">
        <v>-6.4521</v>
      </c>
      <c r="AO265" s="0" t="n">
        <v>14.9592</v>
      </c>
      <c r="AP265" s="0" t="n">
        <v>-12.2191</v>
      </c>
      <c r="AQ265" s="0" t="n">
        <v>32.6585</v>
      </c>
      <c r="AR265" s="0" t="n">
        <v>-21.698</v>
      </c>
    </row>
    <row r="266" customFormat="false" ht="15" hidden="false" customHeight="false" outlineLevel="0" collapsed="false">
      <c r="A266" s="0" t="s">
        <v>1173</v>
      </c>
      <c r="B266" s="0" t="s">
        <v>1174</v>
      </c>
      <c r="C266" s="0" t="s">
        <v>1117</v>
      </c>
      <c r="D266" s="0" t="s">
        <v>59</v>
      </c>
      <c r="E266" s="0" t="s">
        <v>60</v>
      </c>
      <c r="F266" s="0" t="s">
        <v>1118</v>
      </c>
      <c r="G266" s="0" t="n">
        <v>100</v>
      </c>
      <c r="H266" s="0" t="n">
        <v>0.0437</v>
      </c>
      <c r="I266" s="0" t="n">
        <v>2</v>
      </c>
      <c r="J266" s="0" t="s">
        <v>62</v>
      </c>
      <c r="K266" s="0" t="s">
        <v>1175</v>
      </c>
      <c r="L266" s="0" t="s">
        <v>1176</v>
      </c>
      <c r="M266" s="0" t="s">
        <v>65</v>
      </c>
      <c r="N266" s="0" t="n">
        <v>1.5825</v>
      </c>
      <c r="O266" s="0" t="n">
        <v>16</v>
      </c>
      <c r="P266" s="0" t="n">
        <v>0.04</v>
      </c>
      <c r="Q266" s="0" t="n">
        <v>100.5335</v>
      </c>
      <c r="R266" s="0" t="n">
        <v>1.0739</v>
      </c>
      <c r="S266" s="0" t="n">
        <v>101.1844</v>
      </c>
      <c r="T266" s="0" t="n">
        <v>1.4682</v>
      </c>
      <c r="U266" s="0" t="n">
        <v>1.4394</v>
      </c>
      <c r="V266" s="0" t="n">
        <v>2.8022</v>
      </c>
      <c r="W266" s="0" t="n">
        <v>0.0145</v>
      </c>
      <c r="X266" s="0" t="n">
        <v>1.4394</v>
      </c>
      <c r="Y266" s="0" t="n">
        <v>2.8022</v>
      </c>
      <c r="Z266" s="0" t="n">
        <v>0</v>
      </c>
      <c r="AA266" s="0" t="n">
        <v>0</v>
      </c>
      <c r="AB266" s="0" t="n">
        <v>-1</v>
      </c>
      <c r="AC266" s="0" t="s">
        <v>91</v>
      </c>
      <c r="AD266" s="0" t="n">
        <v>50</v>
      </c>
      <c r="AE266" s="0" t="n">
        <v>50.27</v>
      </c>
      <c r="AF266" s="0" t="n">
        <v>5288.4</v>
      </c>
      <c r="AG266" s="0" t="n">
        <v>0.000165</v>
      </c>
      <c r="AH266" s="4" t="b">
        <f aca="false">FALSE()</f>
        <v>0</v>
      </c>
      <c r="AJ266" s="4" t="b">
        <f aca="false">FALSE()</f>
        <v>0</v>
      </c>
      <c r="AK266" s="4" t="b">
        <f aca="false">FALSE()</f>
        <v>0</v>
      </c>
      <c r="AL266" s="0" t="s">
        <v>1121</v>
      </c>
      <c r="AM266" s="0" t="n">
        <v>0.7271</v>
      </c>
      <c r="AN266" s="0" t="n">
        <v>-0.72</v>
      </c>
      <c r="AO266" s="0" t="n">
        <v>1.4612</v>
      </c>
      <c r="AP266" s="0" t="n">
        <v>-1.433</v>
      </c>
      <c r="AQ266" s="0" t="n">
        <v>2.9505</v>
      </c>
      <c r="AR266" s="0" t="n">
        <v>-2.8378</v>
      </c>
    </row>
    <row r="267" customFormat="false" ht="15" hidden="false" customHeight="false" outlineLevel="0" collapsed="false">
      <c r="A267" s="0" t="s">
        <v>1177</v>
      </c>
      <c r="B267" s="0" t="s">
        <v>1178</v>
      </c>
      <c r="C267" s="0" t="s">
        <v>1179</v>
      </c>
      <c r="D267" s="0" t="s">
        <v>59</v>
      </c>
      <c r="E267" s="0" t="s">
        <v>60</v>
      </c>
      <c r="F267" s="0" t="s">
        <v>1180</v>
      </c>
      <c r="G267" s="0" t="n">
        <v>100</v>
      </c>
      <c r="H267" s="0" t="n">
        <v>0.0189</v>
      </c>
      <c r="I267" s="0" t="n">
        <v>2</v>
      </c>
      <c r="J267" s="0" t="s">
        <v>62</v>
      </c>
      <c r="K267" s="0" t="s">
        <v>1181</v>
      </c>
      <c r="L267" s="0" t="s">
        <v>1182</v>
      </c>
      <c r="M267" s="0" t="s">
        <v>65</v>
      </c>
      <c r="N267" s="0" t="n">
        <v>17.2457</v>
      </c>
      <c r="O267" s="0" t="n">
        <v>20</v>
      </c>
      <c r="P267" s="0" t="n">
        <v>0.0253</v>
      </c>
      <c r="Q267" s="0" t="n">
        <v>91.2019</v>
      </c>
      <c r="R267" s="0" t="n">
        <v>0.0738</v>
      </c>
      <c r="S267" s="0" t="n">
        <v>91.3271</v>
      </c>
      <c r="T267" s="0" t="n">
        <v>14.4779</v>
      </c>
      <c r="U267" s="0" t="n">
        <v>14.297</v>
      </c>
      <c r="V267" s="0" t="n">
        <v>233.6598</v>
      </c>
      <c r="W267" s="0" t="n">
        <v>0.1304</v>
      </c>
      <c r="X267" s="0" t="n">
        <v>14.297</v>
      </c>
      <c r="Y267" s="0" t="n">
        <v>233.6598</v>
      </c>
      <c r="Z267" s="0" t="n">
        <v>0</v>
      </c>
      <c r="AA267" s="0" t="n">
        <v>0</v>
      </c>
      <c r="AB267" s="0" t="n">
        <v>2</v>
      </c>
      <c r="AC267" s="0" t="s">
        <v>86</v>
      </c>
      <c r="AD267" s="0" t="n">
        <v>200</v>
      </c>
      <c r="AE267" s="0" t="n">
        <v>182.4</v>
      </c>
      <c r="AF267" s="0" t="n">
        <v>16561.92</v>
      </c>
      <c r="AG267" s="0" t="n">
        <v>0.000517</v>
      </c>
      <c r="AH267" s="4" t="b">
        <f aca="false">FALSE()</f>
        <v>0</v>
      </c>
      <c r="AJ267" s="4" t="b">
        <f aca="false">FALSE()</f>
        <v>0</v>
      </c>
      <c r="AK267" s="4" t="b">
        <f aca="false">FALSE()</f>
        <v>0</v>
      </c>
      <c r="AL267" s="0" t="s">
        <v>1183</v>
      </c>
      <c r="AM267" s="0" t="n">
        <v>6.7859</v>
      </c>
      <c r="AN267" s="0" t="n">
        <v>-6.2532</v>
      </c>
      <c r="AO267" s="0" t="n">
        <v>14.1046</v>
      </c>
      <c r="AP267" s="0" t="n">
        <v>-11.9736</v>
      </c>
      <c r="AQ267" s="0" t="n">
        <v>30.3403</v>
      </c>
      <c r="AR267" s="0" t="n">
        <v>-21.8162</v>
      </c>
    </row>
    <row r="268" customFormat="false" ht="15" hidden="false" customHeight="false" outlineLevel="0" collapsed="false">
      <c r="A268" s="0" t="s">
        <v>1184</v>
      </c>
      <c r="B268" s="0" t="s">
        <v>1185</v>
      </c>
      <c r="C268" s="0" t="s">
        <v>1179</v>
      </c>
      <c r="D268" s="0" t="s">
        <v>59</v>
      </c>
      <c r="E268" s="0" t="s">
        <v>60</v>
      </c>
      <c r="F268" s="0" t="s">
        <v>1180</v>
      </c>
      <c r="G268" s="0" t="n">
        <v>100</v>
      </c>
      <c r="H268" s="0" t="n">
        <v>0.0248</v>
      </c>
      <c r="I268" s="0" t="n">
        <v>2</v>
      </c>
      <c r="J268" s="0" t="s">
        <v>62</v>
      </c>
      <c r="K268" s="0" t="s">
        <v>1186</v>
      </c>
      <c r="L268" s="0" t="s">
        <v>1187</v>
      </c>
      <c r="M268" s="0" t="s">
        <v>65</v>
      </c>
      <c r="N268" s="0" t="n">
        <v>3.5702</v>
      </c>
      <c r="O268" s="0" t="n">
        <v>7</v>
      </c>
      <c r="P268" s="0" t="n">
        <v>0.0313</v>
      </c>
      <c r="Q268" s="0" t="n">
        <v>97.861</v>
      </c>
      <c r="R268" s="0" t="n">
        <v>0.3573</v>
      </c>
      <c r="S268" s="0" t="n">
        <v>98.4237</v>
      </c>
      <c r="T268" s="0" t="n">
        <v>3.3723</v>
      </c>
      <c r="U268" s="0" t="n">
        <v>3.3203</v>
      </c>
      <c r="V268" s="0" t="n">
        <v>12.9138</v>
      </c>
      <c r="W268" s="0" t="n">
        <v>0.0325</v>
      </c>
      <c r="X268" s="0" t="n">
        <v>3.3203</v>
      </c>
      <c r="Y268" s="0" t="n">
        <v>12.9138</v>
      </c>
      <c r="Z268" s="0" t="n">
        <v>0</v>
      </c>
      <c r="AA268" s="0" t="n">
        <v>0</v>
      </c>
      <c r="AB268" s="0" t="n">
        <v>4</v>
      </c>
      <c r="AC268" s="0" t="s">
        <v>230</v>
      </c>
      <c r="AD268" s="0" t="n">
        <v>2000</v>
      </c>
      <c r="AE268" s="0" t="n">
        <v>1957.22</v>
      </c>
      <c r="AF268" s="0" t="n">
        <v>177715.58</v>
      </c>
      <c r="AG268" s="0" t="n">
        <v>0.005543</v>
      </c>
      <c r="AH268" s="4" t="b">
        <f aca="false">FALSE()</f>
        <v>0</v>
      </c>
      <c r="AJ268" s="4" t="b">
        <f aca="false">FALSE()</f>
        <v>0</v>
      </c>
      <c r="AK268" s="4" t="b">
        <f aca="false">FALSE()</f>
        <v>0</v>
      </c>
      <c r="AL268" s="0" t="s">
        <v>1183</v>
      </c>
      <c r="AM268" s="0" t="n">
        <v>1.6404</v>
      </c>
      <c r="AN268" s="0" t="n">
        <v>-1.6088</v>
      </c>
      <c r="AO268" s="0" t="n">
        <v>3.3125</v>
      </c>
      <c r="AP268" s="0" t="n">
        <v>-3.1861</v>
      </c>
      <c r="AQ268" s="0" t="n">
        <v>6.7513</v>
      </c>
      <c r="AR268" s="0" t="n">
        <v>-6.2458</v>
      </c>
    </row>
    <row r="269" customFormat="false" ht="15" hidden="false" customHeight="false" outlineLevel="0" collapsed="false">
      <c r="A269" s="0" t="s">
        <v>1188</v>
      </c>
      <c r="B269" s="0" t="s">
        <v>1189</v>
      </c>
      <c r="C269" s="0" t="s">
        <v>1179</v>
      </c>
      <c r="D269" s="0" t="s">
        <v>59</v>
      </c>
      <c r="E269" s="0" t="s">
        <v>60</v>
      </c>
      <c r="F269" s="0" t="s">
        <v>1180</v>
      </c>
      <c r="G269" s="0" t="n">
        <v>100</v>
      </c>
      <c r="H269" s="0" t="n">
        <v>0.0267</v>
      </c>
      <c r="I269" s="0" t="n">
        <v>2</v>
      </c>
      <c r="J269" s="0" t="s">
        <v>62</v>
      </c>
      <c r="K269" s="0" t="s">
        <v>1190</v>
      </c>
      <c r="L269" s="0" t="s">
        <v>1191</v>
      </c>
      <c r="M269" s="0" t="s">
        <v>65</v>
      </c>
      <c r="N269" s="0" t="n">
        <v>2.5188</v>
      </c>
      <c r="O269" s="0" t="n">
        <v>9</v>
      </c>
      <c r="P269" s="0" t="n">
        <v>0.0309</v>
      </c>
      <c r="Q269" s="0" t="n">
        <v>98.997</v>
      </c>
      <c r="R269" s="0" t="n">
        <v>0.4231</v>
      </c>
      <c r="S269" s="0" t="n">
        <v>99.419</v>
      </c>
      <c r="T269" s="0" t="n">
        <v>2.4346</v>
      </c>
      <c r="U269" s="0" t="n">
        <v>2.3976</v>
      </c>
      <c r="V269" s="0" t="n">
        <v>7.0203</v>
      </c>
      <c r="W269" s="0" t="n">
        <v>0.0237</v>
      </c>
      <c r="X269" s="0" t="n">
        <v>2.3976</v>
      </c>
      <c r="Y269" s="0" t="n">
        <v>7.0203</v>
      </c>
      <c r="Z269" s="0" t="n">
        <v>0</v>
      </c>
      <c r="AA269" s="0" t="n">
        <v>0</v>
      </c>
      <c r="AB269" s="0" t="n">
        <v>-4</v>
      </c>
      <c r="AC269" s="0" t="s">
        <v>66</v>
      </c>
      <c r="AD269" s="0" t="n">
        <v>50</v>
      </c>
      <c r="AE269" s="0" t="n">
        <v>49.5</v>
      </c>
      <c r="AF269" s="0" t="n">
        <v>4494.6</v>
      </c>
      <c r="AG269" s="0" t="n">
        <v>0.00014</v>
      </c>
      <c r="AH269" s="4" t="b">
        <f aca="false">FALSE()</f>
        <v>0</v>
      </c>
      <c r="AJ269" s="4" t="b">
        <f aca="false">FALSE()</f>
        <v>0</v>
      </c>
      <c r="AK269" s="4" t="b">
        <f aca="false">FALSE()</f>
        <v>0</v>
      </c>
      <c r="AL269" s="0" t="s">
        <v>1183</v>
      </c>
      <c r="AM269" s="0" t="n">
        <v>1.1955</v>
      </c>
      <c r="AN269" s="0" t="n">
        <v>-1.1781</v>
      </c>
      <c r="AO269" s="0" t="n">
        <v>2.4083</v>
      </c>
      <c r="AP269" s="0" t="n">
        <v>-2.3388</v>
      </c>
      <c r="AQ269" s="0" t="n">
        <v>4.8861</v>
      </c>
      <c r="AR269" s="0" t="n">
        <v>-4.6081</v>
      </c>
    </row>
    <row r="270" customFormat="false" ht="15" hidden="false" customHeight="false" outlineLevel="0" collapsed="false">
      <c r="A270" s="0" t="s">
        <v>1192</v>
      </c>
      <c r="B270" s="0" t="s">
        <v>1193</v>
      </c>
      <c r="C270" s="0" t="s">
        <v>1179</v>
      </c>
      <c r="D270" s="0" t="s">
        <v>59</v>
      </c>
      <c r="E270" s="0" t="s">
        <v>60</v>
      </c>
      <c r="F270" s="0" t="s">
        <v>1180</v>
      </c>
      <c r="G270" s="0" t="n">
        <v>100</v>
      </c>
      <c r="H270" s="0" t="n">
        <v>0.0088</v>
      </c>
      <c r="I270" s="0" t="n">
        <v>2</v>
      </c>
      <c r="J270" s="0" t="s">
        <v>62</v>
      </c>
      <c r="K270" s="0" t="s">
        <v>1194</v>
      </c>
      <c r="L270" s="0" t="s">
        <v>1195</v>
      </c>
      <c r="M270" s="0" t="s">
        <v>65</v>
      </c>
      <c r="N270" s="0" t="n">
        <v>11.885</v>
      </c>
      <c r="O270" s="0" t="n">
        <v>23</v>
      </c>
      <c r="P270" s="0" t="n">
        <v>0.0278</v>
      </c>
      <c r="Q270" s="0" t="n">
        <v>81.4079</v>
      </c>
      <c r="R270" s="0" t="n">
        <v>0.1656</v>
      </c>
      <c r="S270" s="0" t="n">
        <v>81.5345</v>
      </c>
      <c r="T270" s="0" t="n">
        <v>10.8862</v>
      </c>
      <c r="U270" s="0" t="n">
        <v>10.737</v>
      </c>
      <c r="V270" s="0" t="n">
        <v>124.801</v>
      </c>
      <c r="W270" s="0" t="n">
        <v>0.0874</v>
      </c>
      <c r="X270" s="0" t="n">
        <v>10.737</v>
      </c>
      <c r="Y270" s="0" t="n">
        <v>124.801</v>
      </c>
      <c r="Z270" s="0" t="n">
        <v>0</v>
      </c>
      <c r="AA270" s="0" t="n">
        <v>0</v>
      </c>
      <c r="AB270" s="0" t="n">
        <v>-3</v>
      </c>
      <c r="AC270" s="0" t="s">
        <v>152</v>
      </c>
      <c r="AD270" s="0" t="n">
        <v>500</v>
      </c>
      <c r="AE270" s="0" t="n">
        <v>407.04</v>
      </c>
      <c r="AF270" s="0" t="n">
        <v>36959.23</v>
      </c>
      <c r="AG270" s="0" t="n">
        <v>0.001153</v>
      </c>
      <c r="AH270" s="4" t="b">
        <f aca="false">FALSE()</f>
        <v>0</v>
      </c>
      <c r="AJ270" s="4" t="b">
        <f aca="false">FALSE()</f>
        <v>0</v>
      </c>
      <c r="AK270" s="4" t="b">
        <f aca="false">FALSE()</f>
        <v>0</v>
      </c>
      <c r="AL270" s="0" t="s">
        <v>1183</v>
      </c>
      <c r="AM270" s="0" t="n">
        <v>4.4974</v>
      </c>
      <c r="AN270" s="0" t="n">
        <v>-4.2434</v>
      </c>
      <c r="AO270" s="0" t="n">
        <v>9.2488</v>
      </c>
      <c r="AP270" s="0" t="n">
        <v>-8.2328</v>
      </c>
      <c r="AQ270" s="0" t="n">
        <v>19.5135</v>
      </c>
      <c r="AR270" s="0" t="n">
        <v>-15.4496</v>
      </c>
    </row>
    <row r="271" customFormat="false" ht="15" hidden="false" customHeight="false" outlineLevel="0" collapsed="false">
      <c r="A271" s="0" t="s">
        <v>1196</v>
      </c>
      <c r="B271" s="0" t="s">
        <v>1197</v>
      </c>
      <c r="C271" s="0" t="s">
        <v>1179</v>
      </c>
      <c r="D271" s="0" t="s">
        <v>59</v>
      </c>
      <c r="E271" s="0" t="s">
        <v>60</v>
      </c>
      <c r="F271" s="0" t="s">
        <v>1180</v>
      </c>
      <c r="G271" s="0" t="n">
        <v>100</v>
      </c>
      <c r="H271" s="0" t="n">
        <v>0.0236</v>
      </c>
      <c r="I271" s="0" t="n">
        <v>2</v>
      </c>
      <c r="J271" s="0" t="s">
        <v>62</v>
      </c>
      <c r="K271" s="0" t="s">
        <v>1198</v>
      </c>
      <c r="L271" s="0" t="s">
        <v>1199</v>
      </c>
      <c r="M271" s="0" t="s">
        <v>65</v>
      </c>
      <c r="N271" s="0" t="n">
        <v>12.7036</v>
      </c>
      <c r="O271" s="0" t="n">
        <v>19</v>
      </c>
      <c r="P271" s="0" t="n">
        <v>0.0256</v>
      </c>
      <c r="Q271" s="0" t="n">
        <v>97.8721</v>
      </c>
      <c r="R271" s="0" t="n">
        <v>0.2563</v>
      </c>
      <c r="S271" s="0" t="n">
        <v>98.2838</v>
      </c>
      <c r="T271" s="0" t="n">
        <v>10.876</v>
      </c>
      <c r="U271" s="0" t="n">
        <v>10.7385</v>
      </c>
      <c r="V271" s="0" t="n">
        <v>131.3032</v>
      </c>
      <c r="W271" s="0" t="n">
        <v>0.1051</v>
      </c>
      <c r="X271" s="0" t="n">
        <v>10.7385</v>
      </c>
      <c r="Y271" s="0" t="n">
        <v>131.3032</v>
      </c>
      <c r="Z271" s="0" t="n">
        <v>0</v>
      </c>
      <c r="AA271" s="0" t="n">
        <v>0</v>
      </c>
      <c r="AB271" s="0" t="n">
        <v>-1</v>
      </c>
      <c r="AC271" s="0" t="s">
        <v>152</v>
      </c>
      <c r="AD271" s="0" t="n">
        <v>1000</v>
      </c>
      <c r="AE271" s="0" t="n">
        <v>978.72</v>
      </c>
      <c r="AF271" s="0" t="n">
        <v>88867.78</v>
      </c>
      <c r="AG271" s="0" t="n">
        <v>0.002772</v>
      </c>
      <c r="AH271" s="4" t="b">
        <f aca="false">FALSE()</f>
        <v>0</v>
      </c>
      <c r="AJ271" s="4" t="b">
        <f aca="false">FALSE()</f>
        <v>0</v>
      </c>
      <c r="AK271" s="4" t="b">
        <f aca="false">FALSE()</f>
        <v>0</v>
      </c>
      <c r="AL271" s="0" t="s">
        <v>1183</v>
      </c>
      <c r="AM271" s="0" t="n">
        <v>5.4156</v>
      </c>
      <c r="AN271" s="0" t="n">
        <v>-5.0944</v>
      </c>
      <c r="AO271" s="0" t="n">
        <v>11.1525</v>
      </c>
      <c r="AP271" s="0" t="n">
        <v>-9.8674</v>
      </c>
      <c r="AQ271" s="0" t="n">
        <v>23.5902</v>
      </c>
      <c r="AR271" s="0" t="n">
        <v>-18.4498</v>
      </c>
    </row>
    <row r="272" customFormat="false" ht="15" hidden="false" customHeight="false" outlineLevel="0" collapsed="false">
      <c r="A272" s="0" t="s">
        <v>1200</v>
      </c>
      <c r="B272" s="0" t="s">
        <v>1201</v>
      </c>
      <c r="C272" s="0" t="s">
        <v>1179</v>
      </c>
      <c r="D272" s="0" t="s">
        <v>59</v>
      </c>
      <c r="E272" s="0" t="s">
        <v>60</v>
      </c>
      <c r="F272" s="0" t="s">
        <v>1180</v>
      </c>
      <c r="G272" s="0" t="n">
        <v>100</v>
      </c>
      <c r="H272" s="0" t="n">
        <v>0.0112</v>
      </c>
      <c r="I272" s="0" t="n">
        <v>2</v>
      </c>
      <c r="J272" s="0" t="s">
        <v>62</v>
      </c>
      <c r="K272" s="0" t="s">
        <v>1202</v>
      </c>
      <c r="L272" s="0" t="s">
        <v>1203</v>
      </c>
      <c r="M272" s="0" t="s">
        <v>65</v>
      </c>
      <c r="N272" s="0" t="n">
        <v>2.6995</v>
      </c>
      <c r="O272" s="0" t="n">
        <v>4</v>
      </c>
      <c r="P272" s="0" t="n">
        <v>0.028</v>
      </c>
      <c r="Q272" s="0" t="n">
        <v>95.9708</v>
      </c>
      <c r="R272" s="0" t="n">
        <v>0.2588</v>
      </c>
      <c r="S272" s="0" t="n">
        <v>95.9959</v>
      </c>
      <c r="T272" s="0" t="n">
        <v>2.4716</v>
      </c>
      <c r="U272" s="0" t="n">
        <v>2.4375</v>
      </c>
      <c r="V272" s="0" t="n">
        <v>7.1841</v>
      </c>
      <c r="W272" s="0" t="n">
        <v>0.0234</v>
      </c>
      <c r="X272" s="0" t="n">
        <v>2.4375</v>
      </c>
      <c r="Y272" s="0" t="n">
        <v>7.1841</v>
      </c>
      <c r="Z272" s="0" t="n">
        <v>0</v>
      </c>
      <c r="AA272" s="0" t="n">
        <v>0</v>
      </c>
      <c r="AB272" s="0" t="n">
        <v>8</v>
      </c>
      <c r="AC272" s="0" t="s">
        <v>66</v>
      </c>
      <c r="AD272" s="0" t="n">
        <v>2000</v>
      </c>
      <c r="AE272" s="0" t="n">
        <v>1919.42</v>
      </c>
      <c r="AF272" s="0" t="n">
        <v>174283.34</v>
      </c>
      <c r="AG272" s="0" t="n">
        <v>0.005436</v>
      </c>
      <c r="AH272" s="4" t="b">
        <f aca="false">FALSE()</f>
        <v>0</v>
      </c>
      <c r="AJ272" s="4" t="b">
        <f aca="false">FALSE()</f>
        <v>0</v>
      </c>
      <c r="AK272" s="4" t="b">
        <f aca="false">FALSE()</f>
        <v>0</v>
      </c>
      <c r="AL272" s="0" t="s">
        <v>1183</v>
      </c>
      <c r="AM272" s="0" t="n">
        <v>1.1783</v>
      </c>
      <c r="AN272" s="0" t="n">
        <v>-1.161</v>
      </c>
      <c r="AO272" s="0" t="n">
        <v>2.3738</v>
      </c>
      <c r="AP272" s="0" t="n">
        <v>-2.3048</v>
      </c>
      <c r="AQ272" s="0" t="n">
        <v>4.8165</v>
      </c>
      <c r="AR272" s="0" t="n">
        <v>-4.5407</v>
      </c>
    </row>
    <row r="273" customFormat="false" ht="15" hidden="false" customHeight="false" outlineLevel="0" collapsed="false">
      <c r="A273" s="0" t="s">
        <v>1204</v>
      </c>
      <c r="B273" s="0" t="s">
        <v>1205</v>
      </c>
      <c r="C273" s="0" t="s">
        <v>1179</v>
      </c>
      <c r="D273" s="0" t="s">
        <v>59</v>
      </c>
      <c r="E273" s="0" t="s">
        <v>60</v>
      </c>
      <c r="F273" s="0" t="s">
        <v>1180</v>
      </c>
      <c r="G273" s="0" t="n">
        <v>100</v>
      </c>
      <c r="H273" s="0" t="n">
        <v>0.0297</v>
      </c>
      <c r="I273" s="0" t="n">
        <v>2</v>
      </c>
      <c r="J273" s="0" t="s">
        <v>62</v>
      </c>
      <c r="K273" s="0" t="s">
        <v>1206</v>
      </c>
      <c r="L273" s="0" t="s">
        <v>1207</v>
      </c>
      <c r="M273" s="0" t="s">
        <v>65</v>
      </c>
      <c r="N273" s="0" t="n">
        <v>8.5832</v>
      </c>
      <c r="O273" s="0" t="n">
        <v>21</v>
      </c>
      <c r="P273" s="0" t="n">
        <v>0.0306</v>
      </c>
      <c r="Q273" s="0" t="n">
        <v>99.3309</v>
      </c>
      <c r="R273" s="0" t="n">
        <v>0.1083</v>
      </c>
      <c r="S273" s="0" t="n">
        <v>99.3642</v>
      </c>
      <c r="T273" s="0" t="n">
        <v>7.5703</v>
      </c>
      <c r="U273" s="0" t="n">
        <v>7.4562</v>
      </c>
      <c r="V273" s="0" t="n">
        <v>63.4904</v>
      </c>
      <c r="W273" s="0" t="n">
        <v>0.0741</v>
      </c>
      <c r="X273" s="0" t="n">
        <v>7.4562</v>
      </c>
      <c r="Y273" s="0" t="n">
        <v>63.4904</v>
      </c>
      <c r="Z273" s="0" t="n">
        <v>0</v>
      </c>
      <c r="AA273" s="0" t="n">
        <v>0</v>
      </c>
      <c r="AB273" s="0" t="n">
        <v>2</v>
      </c>
      <c r="AC273" s="0" t="s">
        <v>210</v>
      </c>
      <c r="AD273" s="0" t="n">
        <v>1000</v>
      </c>
      <c r="AE273" s="0" t="n">
        <v>993.31</v>
      </c>
      <c r="AF273" s="0" t="n">
        <v>90192.55</v>
      </c>
      <c r="AG273" s="0" t="n">
        <v>0.002813</v>
      </c>
      <c r="AH273" s="4" t="b">
        <f aca="false">FALSE()</f>
        <v>0</v>
      </c>
      <c r="AJ273" s="4" t="b">
        <f aca="false">FALSE()</f>
        <v>0</v>
      </c>
      <c r="AK273" s="4" t="b">
        <f aca="false">FALSE()</f>
        <v>0</v>
      </c>
      <c r="AL273" s="0" t="s">
        <v>1183</v>
      </c>
      <c r="AM273" s="0" t="n">
        <v>3.782</v>
      </c>
      <c r="AN273" s="0" t="n">
        <v>-3.6243</v>
      </c>
      <c r="AO273" s="0" t="n">
        <v>7.7216</v>
      </c>
      <c r="AP273" s="0" t="n">
        <v>-7.091</v>
      </c>
      <c r="AQ273" s="0" t="n">
        <v>16.0739</v>
      </c>
      <c r="AR273" s="0" t="n">
        <v>-13.5513</v>
      </c>
    </row>
    <row r="274" customFormat="false" ht="15" hidden="false" customHeight="false" outlineLevel="0" collapsed="false">
      <c r="A274" s="0" t="s">
        <v>1208</v>
      </c>
      <c r="B274" s="0" t="s">
        <v>1209</v>
      </c>
      <c r="C274" s="0" t="s">
        <v>1179</v>
      </c>
      <c r="D274" s="0" t="s">
        <v>59</v>
      </c>
      <c r="E274" s="0" t="s">
        <v>60</v>
      </c>
      <c r="F274" s="0" t="s">
        <v>1180</v>
      </c>
      <c r="G274" s="0" t="n">
        <v>100</v>
      </c>
      <c r="H274" s="0" t="n">
        <v>0.0053</v>
      </c>
      <c r="I274" s="0" t="n">
        <v>2</v>
      </c>
      <c r="J274" s="0" t="s">
        <v>62</v>
      </c>
      <c r="K274" s="0" t="s">
        <v>1210</v>
      </c>
      <c r="L274" s="0" t="s">
        <v>1211</v>
      </c>
      <c r="M274" s="0" t="s">
        <v>65</v>
      </c>
      <c r="N274" s="0" t="n">
        <v>11.8303</v>
      </c>
      <c r="O274" s="0" t="n">
        <v>24</v>
      </c>
      <c r="P274" s="0" t="n">
        <v>0.0271</v>
      </c>
      <c r="Q274" s="0" t="n">
        <v>78.5838</v>
      </c>
      <c r="R274" s="0" t="n">
        <v>0.003</v>
      </c>
      <c r="S274" s="0" t="n">
        <v>78.6115</v>
      </c>
      <c r="T274" s="0" t="n">
        <v>11.116</v>
      </c>
      <c r="U274" s="0" t="n">
        <v>10.9674</v>
      </c>
      <c r="V274" s="0" t="n">
        <v>128.4231</v>
      </c>
      <c r="W274" s="0" t="n">
        <v>0.0862</v>
      </c>
      <c r="X274" s="0" t="n">
        <v>10.9674</v>
      </c>
      <c r="Y274" s="0" t="n">
        <v>128.4231</v>
      </c>
      <c r="Z274" s="0" t="n">
        <v>0</v>
      </c>
      <c r="AA274" s="0" t="n">
        <v>0</v>
      </c>
      <c r="AB274" s="0" t="n">
        <v>1</v>
      </c>
      <c r="AC274" s="0" t="s">
        <v>152</v>
      </c>
      <c r="AD274" s="0" t="n">
        <v>500</v>
      </c>
      <c r="AE274" s="0" t="n">
        <v>392.92</v>
      </c>
      <c r="AF274" s="0" t="n">
        <v>35677.14</v>
      </c>
      <c r="AG274" s="0" t="n">
        <v>0.001113</v>
      </c>
      <c r="AH274" s="4" t="b">
        <f aca="false">FALSE()</f>
        <v>0</v>
      </c>
      <c r="AJ274" s="4" t="b">
        <f aca="false">FALSE()</f>
        <v>0</v>
      </c>
      <c r="AK274" s="4" t="b">
        <f aca="false">FALSE()</f>
        <v>0</v>
      </c>
      <c r="AL274" s="0" t="s">
        <v>1183</v>
      </c>
      <c r="AM274" s="0" t="n">
        <v>4.4354</v>
      </c>
      <c r="AN274" s="0" t="n">
        <v>-4.1832</v>
      </c>
      <c r="AO274" s="0" t="n">
        <v>9.1232</v>
      </c>
      <c r="AP274" s="0" t="n">
        <v>-8.114</v>
      </c>
      <c r="AQ274" s="0" t="n">
        <v>19.2556</v>
      </c>
      <c r="AR274" s="0" t="n">
        <v>-15.2188</v>
      </c>
    </row>
    <row r="275" customFormat="false" ht="15" hidden="false" customHeight="false" outlineLevel="0" collapsed="false">
      <c r="A275" s="0" t="s">
        <v>1212</v>
      </c>
      <c r="B275" s="0" t="s">
        <v>1213</v>
      </c>
      <c r="C275" s="0" t="s">
        <v>1179</v>
      </c>
      <c r="D275" s="0" t="s">
        <v>59</v>
      </c>
      <c r="E275" s="0" t="s">
        <v>60</v>
      </c>
      <c r="F275" s="0" t="s">
        <v>1180</v>
      </c>
      <c r="G275" s="0" t="n">
        <v>100</v>
      </c>
      <c r="H275" s="0" t="n">
        <v>0.0196</v>
      </c>
      <c r="I275" s="0" t="n">
        <v>2</v>
      </c>
      <c r="J275" s="0" t="s">
        <v>62</v>
      </c>
      <c r="K275" s="0" t="s">
        <v>1214</v>
      </c>
      <c r="L275" s="0" t="s">
        <v>1215</v>
      </c>
      <c r="M275" s="0" t="s">
        <v>65</v>
      </c>
      <c r="N275" s="0" t="n">
        <v>14.8528</v>
      </c>
      <c r="O275" s="0" t="n">
        <v>23</v>
      </c>
      <c r="P275" s="0" t="n">
        <v>0.0268</v>
      </c>
      <c r="Q275" s="0" t="n">
        <v>91.3965</v>
      </c>
      <c r="R275" s="0" t="n">
        <v>0.1392</v>
      </c>
      <c r="S275" s="0" t="n">
        <v>91.7832</v>
      </c>
      <c r="T275" s="0" t="n">
        <v>12.5871</v>
      </c>
      <c r="U275" s="0" t="n">
        <v>12.4207</v>
      </c>
      <c r="V275" s="0" t="n">
        <v>175.0771</v>
      </c>
      <c r="W275" s="0" t="n">
        <v>0.1135</v>
      </c>
      <c r="X275" s="0" t="n">
        <v>12.4207</v>
      </c>
      <c r="Y275" s="0" t="n">
        <v>175.0771</v>
      </c>
      <c r="Z275" s="0" t="n">
        <v>0</v>
      </c>
      <c r="AA275" s="0" t="n">
        <v>0</v>
      </c>
      <c r="AB275" s="0" t="n">
        <v>3</v>
      </c>
      <c r="AC275" s="0" t="s">
        <v>152</v>
      </c>
      <c r="AD275" s="0" t="n">
        <v>50</v>
      </c>
      <c r="AE275" s="0" t="n">
        <v>45.7</v>
      </c>
      <c r="AF275" s="0" t="n">
        <v>4149.56</v>
      </c>
      <c r="AG275" s="0" t="n">
        <v>0.000129</v>
      </c>
      <c r="AH275" s="4" t="b">
        <f aca="false">FALSE()</f>
        <v>0</v>
      </c>
      <c r="AJ275" s="4" t="b">
        <f aca="false">FALSE()</f>
        <v>0</v>
      </c>
      <c r="AK275" s="4" t="b">
        <f aca="false">FALSE()</f>
        <v>0</v>
      </c>
      <c r="AL275" s="0" t="s">
        <v>1183</v>
      </c>
      <c r="AM275" s="0" t="n">
        <v>5.8761</v>
      </c>
      <c r="AN275" s="0" t="n">
        <v>-5.476</v>
      </c>
      <c r="AO275" s="0" t="n">
        <v>12.1522</v>
      </c>
      <c r="AP275" s="0" t="n">
        <v>-10.552</v>
      </c>
      <c r="AQ275" s="0" t="n">
        <v>25.9045</v>
      </c>
      <c r="AR275" s="0" t="n">
        <v>-19.5039</v>
      </c>
    </row>
    <row r="276" customFormat="false" ht="15" hidden="false" customHeight="false" outlineLevel="0" collapsed="false">
      <c r="A276" s="0" t="s">
        <v>1216</v>
      </c>
      <c r="B276" s="0" t="s">
        <v>1217</v>
      </c>
      <c r="C276" s="0" t="s">
        <v>1179</v>
      </c>
      <c r="D276" s="0" t="s">
        <v>59</v>
      </c>
      <c r="E276" s="0" t="s">
        <v>60</v>
      </c>
      <c r="F276" s="0" t="s">
        <v>1180</v>
      </c>
      <c r="G276" s="0" t="n">
        <v>100</v>
      </c>
      <c r="H276" s="0" t="n">
        <v>0.0267</v>
      </c>
      <c r="I276" s="0" t="n">
        <v>2</v>
      </c>
      <c r="J276" s="0" t="s">
        <v>62</v>
      </c>
      <c r="K276" s="0" t="s">
        <v>1218</v>
      </c>
      <c r="L276" s="0" t="s">
        <v>1219</v>
      </c>
      <c r="M276" s="0" t="s">
        <v>65</v>
      </c>
      <c r="N276" s="0" t="n">
        <v>15.885</v>
      </c>
      <c r="O276" s="0" t="n">
        <v>22</v>
      </c>
      <c r="P276" s="0" t="n">
        <v>0.0319</v>
      </c>
      <c r="Q276" s="0" t="n">
        <v>93.68</v>
      </c>
      <c r="R276" s="0" t="n">
        <v>0.6519</v>
      </c>
      <c r="S276" s="0" t="n">
        <v>93.7465</v>
      </c>
      <c r="T276" s="0" t="n">
        <v>12.6836</v>
      </c>
      <c r="U276" s="0" t="n">
        <v>12.4845</v>
      </c>
      <c r="V276" s="0" t="n">
        <v>183.1387</v>
      </c>
      <c r="W276" s="0" t="n">
        <v>0.117</v>
      </c>
      <c r="X276" s="0" t="n">
        <v>12.4845</v>
      </c>
      <c r="Y276" s="0" t="n">
        <v>183.1387</v>
      </c>
      <c r="Z276" s="0" t="n">
        <v>0</v>
      </c>
      <c r="AA276" s="0" t="n">
        <v>0</v>
      </c>
      <c r="AB276" s="0" t="n">
        <v>5</v>
      </c>
      <c r="AC276" s="0" t="s">
        <v>86</v>
      </c>
      <c r="AD276" s="0" t="n">
        <v>1000</v>
      </c>
      <c r="AE276" s="0" t="n">
        <v>936.8</v>
      </c>
      <c r="AF276" s="0" t="n">
        <v>85061.44</v>
      </c>
      <c r="AG276" s="0" t="n">
        <v>0.002653</v>
      </c>
      <c r="AH276" s="4" t="b">
        <f aca="false">FALSE()</f>
        <v>0</v>
      </c>
      <c r="AJ276" s="4" t="b">
        <f aca="false">FALSE()</f>
        <v>0</v>
      </c>
      <c r="AK276" s="4" t="b">
        <f aca="false">FALSE()</f>
        <v>0</v>
      </c>
      <c r="AL276" s="0" t="s">
        <v>1183</v>
      </c>
      <c r="AM276" s="0" t="n">
        <v>6.0622</v>
      </c>
      <c r="AN276" s="0" t="n">
        <v>-5.6333</v>
      </c>
      <c r="AO276" s="0" t="n">
        <v>12.5533</v>
      </c>
      <c r="AP276" s="0" t="n">
        <v>-10.8377</v>
      </c>
      <c r="AQ276" s="0" t="n">
        <v>26.8222</v>
      </c>
      <c r="AR276" s="0" t="n">
        <v>-19.9597</v>
      </c>
    </row>
    <row r="277" customFormat="false" ht="15" hidden="false" customHeight="false" outlineLevel="0" collapsed="false">
      <c r="A277" s="0" t="s">
        <v>1220</v>
      </c>
      <c r="B277" s="0" t="s">
        <v>1221</v>
      </c>
      <c r="C277" s="0" t="s">
        <v>1179</v>
      </c>
      <c r="D277" s="0" t="s">
        <v>59</v>
      </c>
      <c r="E277" s="0" t="s">
        <v>60</v>
      </c>
      <c r="F277" s="0" t="s">
        <v>1180</v>
      </c>
      <c r="G277" s="0" t="n">
        <v>100</v>
      </c>
      <c r="H277" s="0" t="n">
        <v>0.006</v>
      </c>
      <c r="I277" s="0" t="n">
        <v>2</v>
      </c>
      <c r="J277" s="0" t="s">
        <v>62</v>
      </c>
      <c r="K277" s="0" t="s">
        <v>1222</v>
      </c>
      <c r="L277" s="0" t="s">
        <v>1223</v>
      </c>
      <c r="M277" s="0" t="s">
        <v>65</v>
      </c>
      <c r="N277" s="0" t="n">
        <v>13.0705</v>
      </c>
      <c r="O277" s="0" t="n">
        <v>18</v>
      </c>
      <c r="P277" s="0" t="n">
        <v>0.0284</v>
      </c>
      <c r="Q277" s="0" t="n">
        <v>75.7926</v>
      </c>
      <c r="R277" s="0" t="n">
        <v>0.0236</v>
      </c>
      <c r="S277" s="0" t="n">
        <v>75.8446</v>
      </c>
      <c r="T277" s="0" t="n">
        <v>12.4315</v>
      </c>
      <c r="U277" s="0" t="n">
        <v>12.2574</v>
      </c>
      <c r="V277" s="0" t="n">
        <v>160.8076</v>
      </c>
      <c r="W277" s="0" t="n">
        <v>0.0929</v>
      </c>
      <c r="X277" s="0" t="n">
        <v>12.2574</v>
      </c>
      <c r="Y277" s="0" t="n">
        <v>160.8076</v>
      </c>
      <c r="Z277" s="0" t="n">
        <v>0</v>
      </c>
      <c r="AA277" s="0" t="n">
        <v>0</v>
      </c>
      <c r="AB277" s="0" t="n">
        <v>6</v>
      </c>
      <c r="AC277" s="0" t="s">
        <v>152</v>
      </c>
      <c r="AD277" s="0" t="n">
        <v>2000</v>
      </c>
      <c r="AE277" s="0" t="n">
        <v>1515.85</v>
      </c>
      <c r="AF277" s="0" t="n">
        <v>137639.18</v>
      </c>
      <c r="AG277" s="0" t="n">
        <v>0.004293</v>
      </c>
      <c r="AH277" s="4" t="b">
        <f aca="false">FALSE()</f>
        <v>0</v>
      </c>
      <c r="AJ277" s="4" t="b">
        <f aca="false">FALSE()</f>
        <v>0</v>
      </c>
      <c r="AK277" s="4" t="b">
        <f aca="false">FALSE()</f>
        <v>0</v>
      </c>
      <c r="AL277" s="0" t="s">
        <v>1183</v>
      </c>
      <c r="AM277" s="0" t="n">
        <v>4.7975</v>
      </c>
      <c r="AN277" s="0" t="n">
        <v>-4.4928</v>
      </c>
      <c r="AO277" s="0" t="n">
        <v>9.8996</v>
      </c>
      <c r="AP277" s="0" t="n">
        <v>-8.6808</v>
      </c>
      <c r="AQ277" s="0" t="n">
        <v>21.018</v>
      </c>
      <c r="AR277" s="0" t="n">
        <v>-16.1428</v>
      </c>
    </row>
    <row r="278" customFormat="false" ht="15" hidden="false" customHeight="false" outlineLevel="0" collapsed="false">
      <c r="A278" s="0" t="s">
        <v>1224</v>
      </c>
      <c r="B278" s="0" t="s">
        <v>1225</v>
      </c>
      <c r="C278" s="0" t="s">
        <v>1179</v>
      </c>
      <c r="D278" s="0" t="s">
        <v>59</v>
      </c>
      <c r="E278" s="0" t="s">
        <v>60</v>
      </c>
      <c r="F278" s="0" t="s">
        <v>1180</v>
      </c>
      <c r="G278" s="0" t="n">
        <v>100</v>
      </c>
      <c r="H278" s="0" t="n">
        <v>0.0287</v>
      </c>
      <c r="I278" s="0" t="n">
        <v>2</v>
      </c>
      <c r="J278" s="0" t="s">
        <v>62</v>
      </c>
      <c r="K278" s="0" t="s">
        <v>1226</v>
      </c>
      <c r="L278" s="0" t="s">
        <v>1227</v>
      </c>
      <c r="M278" s="0" t="s">
        <v>65</v>
      </c>
      <c r="N278" s="0" t="n">
        <v>7.2827</v>
      </c>
      <c r="O278" s="0" t="n">
        <v>9</v>
      </c>
      <c r="P278" s="0" t="n">
        <v>0.0313</v>
      </c>
      <c r="Q278" s="0" t="n">
        <v>98.3769</v>
      </c>
      <c r="R278" s="0" t="n">
        <v>0.0985</v>
      </c>
      <c r="S278" s="0" t="n">
        <v>98.9006</v>
      </c>
      <c r="T278" s="0" t="n">
        <v>6.3852</v>
      </c>
      <c r="U278" s="0" t="n">
        <v>6.2868</v>
      </c>
      <c r="V278" s="0" t="n">
        <v>44.9797</v>
      </c>
      <c r="W278" s="0" t="n">
        <v>0.0618</v>
      </c>
      <c r="X278" s="0" t="n">
        <v>6.2868</v>
      </c>
      <c r="Y278" s="0" t="n">
        <v>44.9797</v>
      </c>
      <c r="Z278" s="0" t="n">
        <v>0</v>
      </c>
      <c r="AA278" s="0" t="n">
        <v>0</v>
      </c>
      <c r="AB278" s="0" t="n">
        <v>2</v>
      </c>
      <c r="AC278" s="0" t="s">
        <v>210</v>
      </c>
      <c r="AD278" s="0" t="n">
        <v>2000</v>
      </c>
      <c r="AE278" s="0" t="n">
        <v>1967.54</v>
      </c>
      <c r="AF278" s="0" t="n">
        <v>178652.63</v>
      </c>
      <c r="AG278" s="0" t="n">
        <v>0.005573</v>
      </c>
      <c r="AH278" s="4" t="b">
        <f aca="false">FALSE()</f>
        <v>0</v>
      </c>
      <c r="AJ278" s="4" t="b">
        <f aca="false">FALSE()</f>
        <v>0</v>
      </c>
      <c r="AK278" s="4" t="b">
        <f aca="false">FALSE()</f>
        <v>0</v>
      </c>
      <c r="AL278" s="0" t="s">
        <v>1183</v>
      </c>
      <c r="AM278" s="0" t="n">
        <v>3.1477</v>
      </c>
      <c r="AN278" s="0" t="n">
        <v>-3.0371</v>
      </c>
      <c r="AO278" s="0" t="n">
        <v>6.406</v>
      </c>
      <c r="AP278" s="0" t="n">
        <v>-5.9635</v>
      </c>
      <c r="AQ278" s="0" t="n">
        <v>13.2545</v>
      </c>
      <c r="AR278" s="0" t="n">
        <v>-11.4845</v>
      </c>
    </row>
    <row r="279" customFormat="false" ht="15" hidden="false" customHeight="false" outlineLevel="0" collapsed="false">
      <c r="A279" s="0" t="s">
        <v>1228</v>
      </c>
      <c r="B279" s="0" t="s">
        <v>1229</v>
      </c>
      <c r="C279" s="0" t="s">
        <v>1179</v>
      </c>
      <c r="D279" s="0" t="s">
        <v>59</v>
      </c>
      <c r="E279" s="0" t="s">
        <v>60</v>
      </c>
      <c r="F279" s="0" t="s">
        <v>1180</v>
      </c>
      <c r="G279" s="0" t="n">
        <v>100</v>
      </c>
      <c r="H279" s="0" t="n">
        <v>0.0083</v>
      </c>
      <c r="I279" s="0" t="n">
        <v>2</v>
      </c>
      <c r="J279" s="0" t="s">
        <v>62</v>
      </c>
      <c r="K279" s="0" t="s">
        <v>1230</v>
      </c>
      <c r="L279" s="0" t="s">
        <v>1231</v>
      </c>
      <c r="M279" s="0" t="s">
        <v>65</v>
      </c>
      <c r="N279" s="0" t="n">
        <v>19.4798</v>
      </c>
      <c r="O279" s="0" t="n">
        <v>22</v>
      </c>
      <c r="P279" s="0" t="n">
        <v>0.0288</v>
      </c>
      <c r="Q279" s="0" t="n">
        <v>70.1632</v>
      </c>
      <c r="R279" s="0" t="n">
        <v>0.042</v>
      </c>
      <c r="S279" s="0" t="n">
        <v>70.1919</v>
      </c>
      <c r="T279" s="0" t="n">
        <v>17.2601</v>
      </c>
      <c r="U279" s="0" t="n">
        <v>17.0151</v>
      </c>
      <c r="V279" s="0" t="n">
        <v>317.0017</v>
      </c>
      <c r="W279" s="0" t="n">
        <v>0.1194</v>
      </c>
      <c r="X279" s="0" t="n">
        <v>17.0151</v>
      </c>
      <c r="Y279" s="0" t="n">
        <v>317.0017</v>
      </c>
      <c r="Z279" s="0" t="n">
        <v>0</v>
      </c>
      <c r="AA279" s="0" t="n">
        <v>0</v>
      </c>
      <c r="AB279" s="0" t="n">
        <v>-1</v>
      </c>
      <c r="AC279" s="0" t="s">
        <v>86</v>
      </c>
      <c r="AD279" s="0" t="n">
        <v>5000</v>
      </c>
      <c r="AE279" s="0" t="n">
        <v>3508.16</v>
      </c>
      <c r="AF279" s="0" t="n">
        <v>318540.93</v>
      </c>
      <c r="AG279" s="0" t="n">
        <v>0.009936</v>
      </c>
      <c r="AH279" s="4" t="b">
        <f aca="false">FALSE()</f>
        <v>0</v>
      </c>
      <c r="AJ279" s="4" t="b">
        <f aca="false">FALSE()</f>
        <v>0</v>
      </c>
      <c r="AK279" s="4" t="b">
        <f aca="false">FALSE()</f>
        <v>0</v>
      </c>
      <c r="AL279" s="0" t="s">
        <v>1183</v>
      </c>
      <c r="AM279" s="0" t="n">
        <v>6.2472</v>
      </c>
      <c r="AN279" s="0" t="n">
        <v>-5.6911</v>
      </c>
      <c r="AO279" s="0" t="n">
        <v>13.0504</v>
      </c>
      <c r="AP279" s="0" t="n">
        <v>-10.8262</v>
      </c>
      <c r="AQ279" s="0" t="n">
        <v>28.325</v>
      </c>
      <c r="AR279" s="0" t="n">
        <v>-19.4283</v>
      </c>
    </row>
    <row r="280" customFormat="false" ht="15" hidden="false" customHeight="false" outlineLevel="0" collapsed="false">
      <c r="A280" s="0" t="s">
        <v>1232</v>
      </c>
      <c r="B280" s="0" t="s">
        <v>1233</v>
      </c>
      <c r="C280" s="0" t="s">
        <v>1179</v>
      </c>
      <c r="D280" s="0" t="s">
        <v>59</v>
      </c>
      <c r="E280" s="0" t="s">
        <v>60</v>
      </c>
      <c r="F280" s="0" t="s">
        <v>1180</v>
      </c>
      <c r="G280" s="0" t="n">
        <v>100</v>
      </c>
      <c r="H280" s="0" t="n">
        <v>0.0129</v>
      </c>
      <c r="I280" s="0" t="n">
        <v>2</v>
      </c>
      <c r="J280" s="0" t="s">
        <v>62</v>
      </c>
      <c r="K280" s="0" t="s">
        <v>1234</v>
      </c>
      <c r="L280" s="0" t="s">
        <v>1235</v>
      </c>
      <c r="M280" s="0" t="s">
        <v>65</v>
      </c>
      <c r="N280" s="0" t="n">
        <v>27.373</v>
      </c>
      <c r="O280" s="0" t="n">
        <v>30</v>
      </c>
      <c r="P280" s="0" t="n">
        <v>0.0252</v>
      </c>
      <c r="Q280" s="0" t="n">
        <v>76.0136</v>
      </c>
      <c r="R280" s="0" t="n">
        <v>0.2838</v>
      </c>
      <c r="S280" s="0" t="n">
        <v>76.1471</v>
      </c>
      <c r="T280" s="0" t="n">
        <v>22.1154</v>
      </c>
      <c r="U280" s="0" t="n">
        <v>21.8402</v>
      </c>
      <c r="V280" s="0" t="n">
        <v>553.983</v>
      </c>
      <c r="W280" s="0" t="n">
        <v>0.166</v>
      </c>
      <c r="X280" s="0" t="n">
        <v>21.8402</v>
      </c>
      <c r="Y280" s="0" t="n">
        <v>553.983</v>
      </c>
      <c r="Z280" s="0" t="n">
        <v>0</v>
      </c>
      <c r="AA280" s="0" t="n">
        <v>0</v>
      </c>
      <c r="AB280" s="0" t="n">
        <v>8</v>
      </c>
      <c r="AC280" s="0" t="s">
        <v>72</v>
      </c>
      <c r="AD280" s="0" t="n">
        <v>200</v>
      </c>
      <c r="AE280" s="0" t="n">
        <v>152.03</v>
      </c>
      <c r="AF280" s="0" t="n">
        <v>13804.32</v>
      </c>
      <c r="AG280" s="0" t="n">
        <v>0.000431</v>
      </c>
      <c r="AH280" s="4" t="b">
        <f aca="false">FALSE()</f>
        <v>0</v>
      </c>
      <c r="AJ280" s="4" t="b">
        <f aca="false">FALSE()</f>
        <v>0</v>
      </c>
      <c r="AK280" s="4" t="b">
        <f aca="false">FALSE()</f>
        <v>0</v>
      </c>
      <c r="AL280" s="0" t="s">
        <v>1183</v>
      </c>
      <c r="AM280" s="0" t="n">
        <v>8.8271</v>
      </c>
      <c r="AN280" s="0" t="n">
        <v>-7.7744</v>
      </c>
      <c r="AO280" s="0" t="n">
        <v>18.707</v>
      </c>
      <c r="AP280" s="0" t="n">
        <v>-14.496</v>
      </c>
      <c r="AQ280" s="0" t="n">
        <v>41.6251</v>
      </c>
      <c r="AR280" s="0" t="n">
        <v>-24.781</v>
      </c>
    </row>
    <row r="281" customFormat="false" ht="15" hidden="false" customHeight="false" outlineLevel="0" collapsed="false">
      <c r="A281" s="0" t="s">
        <v>1236</v>
      </c>
      <c r="B281" s="0" t="s">
        <v>1237</v>
      </c>
      <c r="C281" s="0" t="s">
        <v>1179</v>
      </c>
      <c r="D281" s="0" t="s">
        <v>59</v>
      </c>
      <c r="E281" s="0" t="s">
        <v>60</v>
      </c>
      <c r="F281" s="0" t="s">
        <v>1180</v>
      </c>
      <c r="G281" s="0" t="n">
        <v>100</v>
      </c>
      <c r="H281" s="0" t="n">
        <v>0.0204</v>
      </c>
      <c r="I281" s="0" t="n">
        <v>2</v>
      </c>
      <c r="J281" s="0" t="s">
        <v>62</v>
      </c>
      <c r="K281" s="0" t="s">
        <v>1238</v>
      </c>
      <c r="L281" s="0" t="s">
        <v>1239</v>
      </c>
      <c r="M281" s="0" t="s">
        <v>65</v>
      </c>
      <c r="N281" s="0" t="n">
        <v>12.271</v>
      </c>
      <c r="O281" s="0" t="n">
        <v>21</v>
      </c>
      <c r="P281" s="0" t="n">
        <v>0.0266</v>
      </c>
      <c r="Q281" s="0" t="n">
        <v>93.6662</v>
      </c>
      <c r="R281" s="0" t="n">
        <v>0.1178</v>
      </c>
      <c r="S281" s="0" t="n">
        <v>93.6795</v>
      </c>
      <c r="T281" s="0" t="n">
        <v>10.6503</v>
      </c>
      <c r="U281" s="0" t="n">
        <v>10.5105</v>
      </c>
      <c r="V281" s="0" t="n">
        <v>124.4404</v>
      </c>
      <c r="W281" s="0" t="n">
        <v>0.0984</v>
      </c>
      <c r="X281" s="0" t="n">
        <v>10.5105</v>
      </c>
      <c r="Y281" s="0" t="n">
        <v>124.4404</v>
      </c>
      <c r="Z281" s="0" t="n">
        <v>0</v>
      </c>
      <c r="AA281" s="0" t="n">
        <v>0</v>
      </c>
      <c r="AB281" s="0" t="n">
        <v>-3</v>
      </c>
      <c r="AC281" s="0" t="s">
        <v>152</v>
      </c>
      <c r="AD281" s="0" t="n">
        <v>100</v>
      </c>
      <c r="AE281" s="0" t="n">
        <v>93.67</v>
      </c>
      <c r="AF281" s="0" t="n">
        <v>8505.24</v>
      </c>
      <c r="AG281" s="0" t="n">
        <v>0.000265</v>
      </c>
      <c r="AH281" s="4" t="b">
        <f aca="false">FALSE()</f>
        <v>0</v>
      </c>
      <c r="AJ281" s="4" t="b">
        <f aca="false">FALSE()</f>
        <v>0</v>
      </c>
      <c r="AK281" s="4" t="b">
        <f aca="false">FALSE()</f>
        <v>0</v>
      </c>
      <c r="AL281" s="0" t="s">
        <v>1183</v>
      </c>
      <c r="AM281" s="0" t="n">
        <v>5.0681</v>
      </c>
      <c r="AN281" s="0" t="n">
        <v>-4.7767</v>
      </c>
      <c r="AO281" s="0" t="n">
        <v>10.4276</v>
      </c>
      <c r="AP281" s="0" t="n">
        <v>-9.262</v>
      </c>
      <c r="AQ281" s="0" t="n">
        <v>22.0207</v>
      </c>
      <c r="AR281" s="0" t="n">
        <v>-17.3584</v>
      </c>
    </row>
    <row r="282" customFormat="false" ht="15" hidden="false" customHeight="false" outlineLevel="0" collapsed="false">
      <c r="A282" s="0" t="s">
        <v>1240</v>
      </c>
      <c r="B282" s="0" t="s">
        <v>1241</v>
      </c>
      <c r="C282" s="0" t="s">
        <v>1242</v>
      </c>
      <c r="D282" s="0" t="s">
        <v>59</v>
      </c>
      <c r="E282" s="0" t="s">
        <v>60</v>
      </c>
      <c r="F282" s="0" t="s">
        <v>1243</v>
      </c>
      <c r="G282" s="0" t="n">
        <v>100</v>
      </c>
      <c r="H282" s="0" t="n">
        <v>0.0029</v>
      </c>
      <c r="I282" s="0" t="n">
        <v>2</v>
      </c>
      <c r="J282" s="0" t="s">
        <v>62</v>
      </c>
      <c r="K282" s="0" t="s">
        <v>1244</v>
      </c>
      <c r="L282" s="0" t="s">
        <v>1245</v>
      </c>
      <c r="M282" s="0" t="s">
        <v>65</v>
      </c>
      <c r="N282" s="0" t="n">
        <v>5.9138</v>
      </c>
      <c r="O282" s="0" t="n">
        <v>8</v>
      </c>
      <c r="P282" s="0" t="n">
        <v>0.0091</v>
      </c>
      <c r="Q282" s="0" t="n">
        <v>96.6813</v>
      </c>
      <c r="R282" s="0" t="n">
        <v>0.0671</v>
      </c>
      <c r="S282" s="0" t="n">
        <v>96.7502</v>
      </c>
      <c r="T282" s="0" t="n">
        <v>5.4595</v>
      </c>
      <c r="U282" s="0" t="n">
        <v>5.4348</v>
      </c>
      <c r="V282" s="0" t="n">
        <v>32.3812</v>
      </c>
      <c r="W282" s="0" t="n">
        <v>0.0525</v>
      </c>
      <c r="X282" s="0" t="n">
        <v>5.4348</v>
      </c>
      <c r="Y282" s="0" t="n">
        <v>32.3812</v>
      </c>
      <c r="Z282" s="0" t="n">
        <v>0</v>
      </c>
      <c r="AA282" s="0" t="n">
        <v>0</v>
      </c>
      <c r="AB282" s="0" t="n">
        <v>2</v>
      </c>
      <c r="AC282" s="0" t="s">
        <v>77</v>
      </c>
      <c r="AD282" s="0" t="n">
        <v>50</v>
      </c>
      <c r="AE282" s="0" t="n">
        <v>48.34</v>
      </c>
      <c r="AF282" s="0" t="n">
        <v>27.07</v>
      </c>
      <c r="AG282" s="0" t="n">
        <v>1E-006</v>
      </c>
      <c r="AH282" s="4" t="b">
        <f aca="false">FALSE()</f>
        <v>0</v>
      </c>
      <c r="AJ282" s="4" t="b">
        <f aca="false">FALSE()</f>
        <v>0</v>
      </c>
      <c r="AK282" s="4" t="b">
        <f aca="false">FALSE()</f>
        <v>0</v>
      </c>
      <c r="AL282" s="0" t="s">
        <v>1246</v>
      </c>
      <c r="AM282" s="0" t="n">
        <v>2.6664</v>
      </c>
      <c r="AN282" s="0" t="n">
        <v>-2.5881</v>
      </c>
      <c r="AO282" s="0" t="n">
        <v>5.411</v>
      </c>
      <c r="AP282" s="0" t="n">
        <v>-5.0979</v>
      </c>
      <c r="AQ282" s="0" t="n">
        <v>11.135</v>
      </c>
      <c r="AR282" s="0" t="n">
        <v>-9.8827</v>
      </c>
    </row>
    <row r="283" customFormat="false" ht="15" hidden="false" customHeight="false" outlineLevel="0" collapsed="false">
      <c r="A283" s="0" t="s">
        <v>1247</v>
      </c>
      <c r="B283" s="0" t="s">
        <v>1248</v>
      </c>
      <c r="C283" s="0" t="s">
        <v>1242</v>
      </c>
      <c r="D283" s="0" t="s">
        <v>59</v>
      </c>
      <c r="E283" s="0" t="s">
        <v>60</v>
      </c>
      <c r="F283" s="0" t="s">
        <v>1243</v>
      </c>
      <c r="G283" s="0" t="n">
        <v>100</v>
      </c>
      <c r="H283" s="0" t="n">
        <v>0.007</v>
      </c>
      <c r="I283" s="0" t="n">
        <v>2</v>
      </c>
      <c r="J283" s="0" t="s">
        <v>62</v>
      </c>
      <c r="K283" s="0" t="s">
        <v>1249</v>
      </c>
      <c r="L283" s="0" t="s">
        <v>1250</v>
      </c>
      <c r="M283" s="0" t="s">
        <v>65</v>
      </c>
      <c r="N283" s="0" t="n">
        <v>24.8789</v>
      </c>
      <c r="O283" s="0" t="n">
        <v>26</v>
      </c>
      <c r="P283" s="0" t="n">
        <v>0.0124</v>
      </c>
      <c r="Q283" s="0" t="n">
        <v>88.6208</v>
      </c>
      <c r="R283" s="0" t="n">
        <v>0.126</v>
      </c>
      <c r="S283" s="0" t="n">
        <v>88.6898</v>
      </c>
      <c r="T283" s="0" t="n">
        <v>22.3999</v>
      </c>
      <c r="U283" s="0" t="n">
        <v>22.2619</v>
      </c>
      <c r="V283" s="0" t="n">
        <v>536.6517</v>
      </c>
      <c r="W283" s="0" t="n">
        <v>0.1973</v>
      </c>
      <c r="X283" s="0" t="n">
        <v>22.2619</v>
      </c>
      <c r="Y283" s="0" t="n">
        <v>536.6517</v>
      </c>
      <c r="Z283" s="0" t="n">
        <v>0</v>
      </c>
      <c r="AA283" s="0" t="n">
        <v>0</v>
      </c>
      <c r="AB283" s="0" t="n">
        <v>-4</v>
      </c>
      <c r="AC283" s="0" t="s">
        <v>72</v>
      </c>
      <c r="AD283" s="0" t="n">
        <v>500</v>
      </c>
      <c r="AE283" s="0" t="n">
        <v>443.1</v>
      </c>
      <c r="AF283" s="0" t="n">
        <v>248.14</v>
      </c>
      <c r="AG283" s="0" t="n">
        <v>8E-006</v>
      </c>
      <c r="AH283" s="4" t="b">
        <f aca="false">FALSE()</f>
        <v>0</v>
      </c>
      <c r="AJ283" s="4" t="b">
        <f aca="false">FALSE()</f>
        <v>0</v>
      </c>
      <c r="AK283" s="4" t="b">
        <f aca="false">FALSE()</f>
        <v>0</v>
      </c>
      <c r="AL283" s="0" t="s">
        <v>1246</v>
      </c>
      <c r="AM283" s="0" t="n">
        <v>10.4588</v>
      </c>
      <c r="AN283" s="0" t="n">
        <v>-9.2699</v>
      </c>
      <c r="AO283" s="0" t="n">
        <v>22.1066</v>
      </c>
      <c r="AP283" s="0" t="n">
        <v>-17.3507</v>
      </c>
      <c r="AQ283" s="0" t="n">
        <v>48.969</v>
      </c>
      <c r="AR283" s="0" t="n">
        <v>-29.9456</v>
      </c>
    </row>
    <row r="284" customFormat="false" ht="15" hidden="false" customHeight="false" outlineLevel="0" collapsed="false">
      <c r="A284" s="0" t="s">
        <v>1251</v>
      </c>
      <c r="B284" s="0" t="s">
        <v>1252</v>
      </c>
      <c r="C284" s="0" t="s">
        <v>1242</v>
      </c>
      <c r="D284" s="0" t="s">
        <v>59</v>
      </c>
      <c r="E284" s="0" t="s">
        <v>60</v>
      </c>
      <c r="F284" s="0" t="s">
        <v>1243</v>
      </c>
      <c r="G284" s="0" t="n">
        <v>100</v>
      </c>
      <c r="H284" s="0" t="n">
        <v>0.0088</v>
      </c>
      <c r="I284" s="0" t="n">
        <v>2</v>
      </c>
      <c r="J284" s="0" t="s">
        <v>62</v>
      </c>
      <c r="K284" s="0" t="s">
        <v>1253</v>
      </c>
      <c r="L284" s="0" t="s">
        <v>1254</v>
      </c>
      <c r="M284" s="0" t="s">
        <v>65</v>
      </c>
      <c r="N284" s="0" t="n">
        <v>6.4011</v>
      </c>
      <c r="O284" s="0" t="n">
        <v>18</v>
      </c>
      <c r="P284" s="0" t="n">
        <v>0.0146</v>
      </c>
      <c r="Q284" s="0" t="n">
        <v>96.6797</v>
      </c>
      <c r="R284" s="0" t="n">
        <v>0.0641</v>
      </c>
      <c r="S284" s="0" t="n">
        <v>96.7673</v>
      </c>
      <c r="T284" s="0" t="n">
        <v>5.8544</v>
      </c>
      <c r="U284" s="0" t="n">
        <v>5.812</v>
      </c>
      <c r="V284" s="0" t="n">
        <v>37.1973</v>
      </c>
      <c r="W284" s="0" t="n">
        <v>0.0562</v>
      </c>
      <c r="X284" s="0" t="n">
        <v>5.812</v>
      </c>
      <c r="Y284" s="0" t="n">
        <v>37.1973</v>
      </c>
      <c r="Z284" s="0" t="n">
        <v>0</v>
      </c>
      <c r="AA284" s="0" t="n">
        <v>0</v>
      </c>
      <c r="AB284" s="0" t="n">
        <v>4</v>
      </c>
      <c r="AC284" s="0" t="s">
        <v>77</v>
      </c>
      <c r="AD284" s="0" t="n">
        <v>100</v>
      </c>
      <c r="AE284" s="0" t="n">
        <v>96.68</v>
      </c>
      <c r="AF284" s="0" t="n">
        <v>54.14</v>
      </c>
      <c r="AG284" s="0" t="n">
        <v>2E-006</v>
      </c>
      <c r="AH284" s="4" t="b">
        <f aca="false">FALSE()</f>
        <v>0</v>
      </c>
      <c r="AJ284" s="4" t="b">
        <f aca="false">FALSE()</f>
        <v>0</v>
      </c>
      <c r="AK284" s="4" t="b">
        <f aca="false">FALSE()</f>
        <v>0</v>
      </c>
      <c r="AL284" s="0" t="s">
        <v>1246</v>
      </c>
      <c r="AM284" s="0" t="n">
        <v>2.8545</v>
      </c>
      <c r="AN284" s="0" t="n">
        <v>-2.7646</v>
      </c>
      <c r="AO284" s="0" t="n">
        <v>5.7988</v>
      </c>
      <c r="AP284" s="0" t="n">
        <v>-5.4392</v>
      </c>
      <c r="AQ284" s="0" t="n">
        <v>11.9573</v>
      </c>
      <c r="AR284" s="0" t="n">
        <v>-10.5188</v>
      </c>
    </row>
    <row r="285" customFormat="false" ht="15" hidden="false" customHeight="false" outlineLevel="0" collapsed="false">
      <c r="A285" s="0" t="s">
        <v>1255</v>
      </c>
      <c r="B285" s="0" t="s">
        <v>1256</v>
      </c>
      <c r="C285" s="0" t="s">
        <v>1242</v>
      </c>
      <c r="D285" s="0" t="s">
        <v>59</v>
      </c>
      <c r="E285" s="0" t="s">
        <v>60</v>
      </c>
      <c r="F285" s="0" t="s">
        <v>1243</v>
      </c>
      <c r="G285" s="0" t="n">
        <v>100</v>
      </c>
      <c r="H285" s="0" t="n">
        <v>0.0126</v>
      </c>
      <c r="I285" s="0" t="n">
        <v>2</v>
      </c>
      <c r="J285" s="0" t="s">
        <v>62</v>
      </c>
      <c r="K285" s="0" t="s">
        <v>1257</v>
      </c>
      <c r="L285" s="0" t="s">
        <v>1258</v>
      </c>
      <c r="M285" s="0" t="s">
        <v>65</v>
      </c>
      <c r="N285" s="0" t="n">
        <v>14.1793</v>
      </c>
      <c r="O285" s="0" t="n">
        <v>16</v>
      </c>
      <c r="P285" s="0" t="n">
        <v>0.01</v>
      </c>
      <c r="Q285" s="0" t="n">
        <v>103.3888</v>
      </c>
      <c r="R285" s="0" t="n">
        <v>0.2453</v>
      </c>
      <c r="S285" s="0" t="n">
        <v>103.6842</v>
      </c>
      <c r="T285" s="0" t="n">
        <v>12.902</v>
      </c>
      <c r="U285" s="0" t="n">
        <v>12.8378</v>
      </c>
      <c r="V285" s="0" t="n">
        <v>180.0797</v>
      </c>
      <c r="W285" s="0" t="n">
        <v>0.1327</v>
      </c>
      <c r="X285" s="0" t="n">
        <v>12.8378</v>
      </c>
      <c r="Y285" s="0" t="n">
        <v>180.0797</v>
      </c>
      <c r="Z285" s="0" t="n">
        <v>0</v>
      </c>
      <c r="AA285" s="0" t="n">
        <v>0</v>
      </c>
      <c r="AB285" s="0" t="n">
        <v>-1</v>
      </c>
      <c r="AC285" s="0" t="s">
        <v>152</v>
      </c>
      <c r="AD285" s="0" t="n">
        <v>100</v>
      </c>
      <c r="AE285" s="0" t="n">
        <v>103.39</v>
      </c>
      <c r="AF285" s="0" t="n">
        <v>57.9</v>
      </c>
      <c r="AG285" s="0" t="n">
        <v>2E-006</v>
      </c>
      <c r="AH285" s="4" t="b">
        <f aca="false">FALSE()</f>
        <v>0</v>
      </c>
      <c r="AJ285" s="4" t="b">
        <f aca="false">FALSE()</f>
        <v>0</v>
      </c>
      <c r="AK285" s="4" t="b">
        <f aca="false">FALSE()</f>
        <v>0</v>
      </c>
      <c r="AL285" s="0" t="s">
        <v>1246</v>
      </c>
      <c r="AM285" s="0" t="n">
        <v>6.8692</v>
      </c>
      <c r="AN285" s="0" t="n">
        <v>-6.4037</v>
      </c>
      <c r="AO285" s="0" t="n">
        <v>14.2038</v>
      </c>
      <c r="AP285" s="0" t="n">
        <v>-12.3419</v>
      </c>
      <c r="AQ285" s="0" t="n">
        <v>30.2693</v>
      </c>
      <c r="AR285" s="0" t="n">
        <v>-22.822</v>
      </c>
    </row>
    <row r="286" customFormat="false" ht="15" hidden="false" customHeight="false" outlineLevel="0" collapsed="false">
      <c r="A286" s="0" t="s">
        <v>1259</v>
      </c>
      <c r="B286" s="0" t="s">
        <v>1260</v>
      </c>
      <c r="C286" s="0" t="s">
        <v>1242</v>
      </c>
      <c r="D286" s="0" t="s">
        <v>59</v>
      </c>
      <c r="E286" s="0" t="s">
        <v>60</v>
      </c>
      <c r="F286" s="0" t="s">
        <v>1243</v>
      </c>
      <c r="G286" s="0" t="n">
        <v>100</v>
      </c>
      <c r="H286" s="0" t="n">
        <v>0.0023</v>
      </c>
      <c r="I286" s="0" t="n">
        <v>2</v>
      </c>
      <c r="J286" s="0" t="s">
        <v>62</v>
      </c>
      <c r="K286" s="0" t="s">
        <v>1261</v>
      </c>
      <c r="L286" s="0" t="s">
        <v>775</v>
      </c>
      <c r="M286" s="0" t="s">
        <v>65</v>
      </c>
      <c r="N286" s="0" t="n">
        <v>3.8905</v>
      </c>
      <c r="O286" s="0" t="n">
        <v>12</v>
      </c>
      <c r="P286" s="0" t="n">
        <v>0.0141</v>
      </c>
      <c r="Q286" s="0" t="n">
        <v>95.984</v>
      </c>
      <c r="R286" s="0" t="n">
        <v>0.0094</v>
      </c>
      <c r="S286" s="0" t="n">
        <v>96.0262</v>
      </c>
      <c r="T286" s="0" t="n">
        <v>3.4877</v>
      </c>
      <c r="U286" s="0" t="n">
        <v>3.4633</v>
      </c>
      <c r="V286" s="0" t="n">
        <v>13.7398</v>
      </c>
      <c r="W286" s="0" t="n">
        <v>0.0332</v>
      </c>
      <c r="X286" s="0" t="n">
        <v>3.4633</v>
      </c>
      <c r="Y286" s="0" t="n">
        <v>13.7398</v>
      </c>
      <c r="Z286" s="0" t="n">
        <v>0</v>
      </c>
      <c r="AA286" s="0" t="n">
        <v>0</v>
      </c>
      <c r="AB286" s="0" t="n">
        <v>-3</v>
      </c>
      <c r="AC286" s="0" t="s">
        <v>230</v>
      </c>
      <c r="AD286" s="0" t="n">
        <v>5000</v>
      </c>
      <c r="AE286" s="0" t="n">
        <v>4799.2</v>
      </c>
      <c r="AF286" s="0" t="n">
        <v>2687.55</v>
      </c>
      <c r="AG286" s="0" t="n">
        <v>8.4E-005</v>
      </c>
      <c r="AH286" s="4" t="b">
        <f aca="false">FALSE()</f>
        <v>0</v>
      </c>
      <c r="AJ286" s="4" t="b">
        <f aca="false">FALSE()</f>
        <v>0</v>
      </c>
      <c r="AK286" s="4" t="b">
        <f aca="false">FALSE()</f>
        <v>0</v>
      </c>
      <c r="AL286" s="0" t="s">
        <v>1246</v>
      </c>
      <c r="AM286" s="0" t="n">
        <v>1.6786</v>
      </c>
      <c r="AN286" s="0" t="n">
        <v>-1.6456</v>
      </c>
      <c r="AO286" s="0" t="n">
        <v>3.3902</v>
      </c>
      <c r="AP286" s="0" t="n">
        <v>-3.2583</v>
      </c>
      <c r="AQ286" s="0" t="n">
        <v>6.9122</v>
      </c>
      <c r="AR286" s="0" t="n">
        <v>-6.3847</v>
      </c>
    </row>
    <row r="287" customFormat="false" ht="15" hidden="false" customHeight="false" outlineLevel="0" collapsed="false">
      <c r="A287" s="0" t="s">
        <v>1262</v>
      </c>
      <c r="B287" s="0" t="s">
        <v>1263</v>
      </c>
      <c r="C287" s="0" t="s">
        <v>1242</v>
      </c>
      <c r="D287" s="0" t="s">
        <v>59</v>
      </c>
      <c r="E287" s="0" t="s">
        <v>60</v>
      </c>
      <c r="F287" s="0" t="s">
        <v>1243</v>
      </c>
      <c r="G287" s="0" t="n">
        <v>100</v>
      </c>
      <c r="H287" s="0" t="n">
        <v>0.0087</v>
      </c>
      <c r="I287" s="0" t="n">
        <v>2</v>
      </c>
      <c r="J287" s="0" t="s">
        <v>62</v>
      </c>
      <c r="K287" s="0" t="s">
        <v>1264</v>
      </c>
      <c r="L287" s="0" t="s">
        <v>1265</v>
      </c>
      <c r="M287" s="0" t="s">
        <v>65</v>
      </c>
      <c r="N287" s="0" t="n">
        <v>0.9637</v>
      </c>
      <c r="O287" s="0" t="n">
        <v>3</v>
      </c>
      <c r="P287" s="0" t="n">
        <v>0.0141</v>
      </c>
      <c r="Q287" s="0" t="n">
        <v>99.7319</v>
      </c>
      <c r="R287" s="0" t="n">
        <v>0.1895</v>
      </c>
      <c r="S287" s="0" t="n">
        <v>99.9195</v>
      </c>
      <c r="T287" s="0" t="n">
        <v>0.5</v>
      </c>
      <c r="U287" s="0" t="n">
        <v>0.4965</v>
      </c>
      <c r="V287" s="0" t="n">
        <v>0.493</v>
      </c>
      <c r="W287" s="0" t="n">
        <v>0.005</v>
      </c>
      <c r="X287" s="0" t="n">
        <v>0.4965</v>
      </c>
      <c r="Y287" s="0" t="n">
        <v>0.493</v>
      </c>
      <c r="Z287" s="0" t="n">
        <v>0</v>
      </c>
      <c r="AA287" s="0" t="n">
        <v>0</v>
      </c>
      <c r="AB287" s="0" t="n">
        <v>0</v>
      </c>
      <c r="AC287" s="0" t="s">
        <v>173</v>
      </c>
      <c r="AD287" s="0" t="n">
        <v>1000</v>
      </c>
      <c r="AE287" s="0" t="n">
        <v>997.32</v>
      </c>
      <c r="AF287" s="0" t="n">
        <v>558.5</v>
      </c>
      <c r="AG287" s="0" t="n">
        <v>1.7E-005</v>
      </c>
      <c r="AH287" s="4" t="b">
        <f aca="false">FALSE()</f>
        <v>0</v>
      </c>
      <c r="AJ287" s="4" t="b">
        <f aca="false">FALSE()</f>
        <v>0</v>
      </c>
      <c r="AK287" s="4" t="b">
        <f aca="false">FALSE()</f>
        <v>0</v>
      </c>
      <c r="AL287" s="0" t="s">
        <v>1246</v>
      </c>
      <c r="AM287" s="0" t="n">
        <v>0.2482</v>
      </c>
      <c r="AN287" s="0" t="n">
        <v>-0.247</v>
      </c>
      <c r="AO287" s="0" t="n">
        <v>0.4976</v>
      </c>
      <c r="AP287" s="0" t="n">
        <v>-0.4927</v>
      </c>
      <c r="AQ287" s="0" t="n">
        <v>1.0002</v>
      </c>
      <c r="AR287" s="0" t="n">
        <v>-0.9805</v>
      </c>
    </row>
    <row r="288" customFormat="false" ht="15" hidden="false" customHeight="false" outlineLevel="0" collapsed="false">
      <c r="A288" s="0" t="s">
        <v>1266</v>
      </c>
      <c r="B288" s="0" t="s">
        <v>1267</v>
      </c>
      <c r="C288" s="0" t="s">
        <v>1242</v>
      </c>
      <c r="D288" s="0" t="s">
        <v>59</v>
      </c>
      <c r="E288" s="0" t="s">
        <v>60</v>
      </c>
      <c r="F288" s="0" t="s">
        <v>1243</v>
      </c>
      <c r="G288" s="0" t="n">
        <v>100</v>
      </c>
      <c r="H288" s="0" t="n">
        <v>0.0136</v>
      </c>
      <c r="I288" s="0" t="n">
        <v>2</v>
      </c>
      <c r="J288" s="0" t="s">
        <v>62</v>
      </c>
      <c r="K288" s="0" t="s">
        <v>930</v>
      </c>
      <c r="L288" s="0" t="s">
        <v>1268</v>
      </c>
      <c r="M288" s="0" t="s">
        <v>65</v>
      </c>
      <c r="N288" s="0" t="n">
        <v>7.4716</v>
      </c>
      <c r="O288" s="0" t="n">
        <v>8</v>
      </c>
      <c r="P288" s="0" t="n">
        <v>0.0127</v>
      </c>
      <c r="Q288" s="0" t="n">
        <v>100.601</v>
      </c>
      <c r="R288" s="0" t="n">
        <v>0.1559</v>
      </c>
      <c r="S288" s="0" t="n">
        <v>100.8918</v>
      </c>
      <c r="T288" s="0" t="n">
        <v>6.702</v>
      </c>
      <c r="U288" s="0" t="n">
        <v>6.6597</v>
      </c>
      <c r="V288" s="0" t="n">
        <v>48.906</v>
      </c>
      <c r="W288" s="0" t="n">
        <v>0.067</v>
      </c>
      <c r="X288" s="0" t="n">
        <v>6.6597</v>
      </c>
      <c r="Y288" s="0" t="n">
        <v>48.906</v>
      </c>
      <c r="Z288" s="0" t="n">
        <v>0</v>
      </c>
      <c r="AA288" s="0" t="n">
        <v>0</v>
      </c>
      <c r="AB288" s="0" t="n">
        <v>-5</v>
      </c>
      <c r="AC288" s="0" t="s">
        <v>210</v>
      </c>
      <c r="AD288" s="0" t="n">
        <v>50</v>
      </c>
      <c r="AE288" s="0" t="n">
        <v>50.3</v>
      </c>
      <c r="AF288" s="0" t="n">
        <v>28.17</v>
      </c>
      <c r="AG288" s="0" t="n">
        <v>1E-006</v>
      </c>
      <c r="AH288" s="4" t="b">
        <f aca="false">FALSE()</f>
        <v>0</v>
      </c>
      <c r="AJ288" s="4" t="b">
        <f aca="false">FALSE()</f>
        <v>0</v>
      </c>
      <c r="AK288" s="4" t="b">
        <f aca="false">FALSE()</f>
        <v>0</v>
      </c>
      <c r="AL288" s="0" t="s">
        <v>1246</v>
      </c>
      <c r="AM288" s="0" t="n">
        <v>3.4114</v>
      </c>
      <c r="AN288" s="0" t="n">
        <v>-3.2884</v>
      </c>
      <c r="AO288" s="0" t="n">
        <v>6.9457</v>
      </c>
      <c r="AP288" s="0" t="n">
        <v>-6.4537</v>
      </c>
      <c r="AQ288" s="0" t="n">
        <v>14.3834</v>
      </c>
      <c r="AR288" s="0" t="n">
        <v>-12.4155</v>
      </c>
    </row>
    <row r="289" customFormat="false" ht="15" hidden="false" customHeight="false" outlineLevel="0" collapsed="false">
      <c r="A289" s="0" t="s">
        <v>1269</v>
      </c>
      <c r="B289" s="0" t="s">
        <v>1270</v>
      </c>
      <c r="C289" s="0" t="s">
        <v>1242</v>
      </c>
      <c r="D289" s="0" t="s">
        <v>59</v>
      </c>
      <c r="E289" s="0" t="s">
        <v>60</v>
      </c>
      <c r="F289" s="0" t="s">
        <v>1243</v>
      </c>
      <c r="G289" s="0" t="n">
        <v>100</v>
      </c>
      <c r="H289" s="0" t="n">
        <v>0.0094</v>
      </c>
      <c r="I289" s="0" t="n">
        <v>2</v>
      </c>
      <c r="J289" s="0" t="s">
        <v>62</v>
      </c>
      <c r="K289" s="0" t="s">
        <v>1271</v>
      </c>
      <c r="L289" s="0" t="s">
        <v>1272</v>
      </c>
      <c r="M289" s="0" t="s">
        <v>65</v>
      </c>
      <c r="N289" s="0" t="n">
        <v>1.2567</v>
      </c>
      <c r="O289" s="0" t="n">
        <v>2</v>
      </c>
      <c r="P289" s="0" t="n">
        <v>0.0105</v>
      </c>
      <c r="Q289" s="0" t="n">
        <v>99.8909</v>
      </c>
      <c r="R289" s="0" t="n">
        <v>0.1477</v>
      </c>
      <c r="S289" s="0" t="n">
        <v>100.0836</v>
      </c>
      <c r="T289" s="0" t="n">
        <v>0.9977</v>
      </c>
      <c r="U289" s="0" t="n">
        <v>0.9925</v>
      </c>
      <c r="V289" s="0" t="n">
        <v>1.4797</v>
      </c>
      <c r="W289" s="0" t="n">
        <v>0.0099</v>
      </c>
      <c r="X289" s="0" t="n">
        <v>0.9925</v>
      </c>
      <c r="Y289" s="0" t="n">
        <v>1.4797</v>
      </c>
      <c r="Z289" s="0" t="n">
        <v>0</v>
      </c>
      <c r="AA289" s="0" t="n">
        <v>0</v>
      </c>
      <c r="AB289" s="0" t="n">
        <v>1</v>
      </c>
      <c r="AC289" s="0" t="s">
        <v>91</v>
      </c>
      <c r="AD289" s="0" t="n">
        <v>1000</v>
      </c>
      <c r="AE289" s="0" t="n">
        <v>998.91</v>
      </c>
      <c r="AF289" s="0" t="n">
        <v>559.39</v>
      </c>
      <c r="AG289" s="0" t="n">
        <v>1.7E-005</v>
      </c>
      <c r="AH289" s="4" t="b">
        <f aca="false">FALSE()</f>
        <v>0</v>
      </c>
      <c r="AJ289" s="4" t="b">
        <f aca="false">FALSE()</f>
        <v>0</v>
      </c>
      <c r="AK289" s="4" t="b">
        <f aca="false">FALSE()</f>
        <v>0</v>
      </c>
      <c r="AL289" s="0" t="s">
        <v>1246</v>
      </c>
      <c r="AM289" s="0" t="n">
        <v>0.4976</v>
      </c>
      <c r="AN289" s="0" t="n">
        <v>-0.4939</v>
      </c>
      <c r="AO289" s="0" t="n">
        <v>0.9988</v>
      </c>
      <c r="AP289" s="0" t="n">
        <v>-0.984</v>
      </c>
      <c r="AQ289" s="0" t="n">
        <v>2.0124</v>
      </c>
      <c r="AR289" s="0" t="n">
        <v>-1.9533</v>
      </c>
    </row>
    <row r="290" customFormat="false" ht="15" hidden="false" customHeight="false" outlineLevel="0" collapsed="false">
      <c r="A290" s="0" t="s">
        <v>1273</v>
      </c>
      <c r="B290" s="0" t="s">
        <v>1274</v>
      </c>
      <c r="C290" s="0" t="s">
        <v>1242</v>
      </c>
      <c r="D290" s="0" t="s">
        <v>59</v>
      </c>
      <c r="E290" s="0" t="s">
        <v>60</v>
      </c>
      <c r="F290" s="0" t="s">
        <v>1243</v>
      </c>
      <c r="G290" s="0" t="n">
        <v>100</v>
      </c>
      <c r="H290" s="0" t="n">
        <v>0.0052</v>
      </c>
      <c r="I290" s="0" t="n">
        <v>2</v>
      </c>
      <c r="J290" s="0" t="s">
        <v>62</v>
      </c>
      <c r="K290" s="0" t="s">
        <v>1275</v>
      </c>
      <c r="L290" s="0" t="s">
        <v>1276</v>
      </c>
      <c r="M290" s="0" t="s">
        <v>65</v>
      </c>
      <c r="N290" s="0" t="n">
        <v>3.3511</v>
      </c>
      <c r="O290" s="0" t="n">
        <v>4</v>
      </c>
      <c r="P290" s="0" t="n">
        <v>0.0092</v>
      </c>
      <c r="Q290" s="0" t="n">
        <v>98.8191</v>
      </c>
      <c r="R290" s="0" t="n">
        <v>0.021</v>
      </c>
      <c r="S290" s="0" t="n">
        <v>98.8561</v>
      </c>
      <c r="T290" s="0" t="n">
        <v>2.9805</v>
      </c>
      <c r="U290" s="0" t="n">
        <v>2.9669</v>
      </c>
      <c r="V290" s="0" t="n">
        <v>10.3139</v>
      </c>
      <c r="W290" s="0" t="n">
        <v>0.0293</v>
      </c>
      <c r="X290" s="0" t="n">
        <v>2.9669</v>
      </c>
      <c r="Y290" s="0" t="n">
        <v>10.3139</v>
      </c>
      <c r="Z290" s="0" t="n">
        <v>0</v>
      </c>
      <c r="AA290" s="0" t="n">
        <v>0</v>
      </c>
      <c r="AB290" s="0" t="n">
        <v>0</v>
      </c>
      <c r="AC290" s="0" t="s">
        <v>230</v>
      </c>
      <c r="AD290" s="0" t="n">
        <v>100</v>
      </c>
      <c r="AE290" s="0" t="n">
        <v>98.82</v>
      </c>
      <c r="AF290" s="0" t="n">
        <v>55.34</v>
      </c>
      <c r="AG290" s="0" t="n">
        <v>2E-006</v>
      </c>
      <c r="AH290" s="4" t="b">
        <f aca="false">FALSE()</f>
        <v>0</v>
      </c>
      <c r="AJ290" s="4" t="b">
        <f aca="false">FALSE()</f>
        <v>0</v>
      </c>
      <c r="AK290" s="4" t="b">
        <f aca="false">FALSE()</f>
        <v>0</v>
      </c>
      <c r="AL290" s="0" t="s">
        <v>1246</v>
      </c>
      <c r="AM290" s="0" t="n">
        <v>1.4787</v>
      </c>
      <c r="AN290" s="0" t="n">
        <v>-1.4532</v>
      </c>
      <c r="AO290" s="0" t="n">
        <v>2.9828</v>
      </c>
      <c r="AP290" s="0" t="n">
        <v>-2.8809</v>
      </c>
      <c r="AQ290" s="0" t="n">
        <v>6.0676</v>
      </c>
      <c r="AR290" s="0" t="n">
        <v>-5.6599</v>
      </c>
    </row>
    <row r="291" customFormat="false" ht="15" hidden="false" customHeight="false" outlineLevel="0" collapsed="false">
      <c r="A291" s="0" t="s">
        <v>1277</v>
      </c>
      <c r="B291" s="0" t="s">
        <v>1278</v>
      </c>
      <c r="C291" s="0" t="s">
        <v>1242</v>
      </c>
      <c r="D291" s="0" t="s">
        <v>59</v>
      </c>
      <c r="E291" s="0" t="s">
        <v>60</v>
      </c>
      <c r="F291" s="0" t="s">
        <v>1243</v>
      </c>
      <c r="G291" s="0" t="n">
        <v>100</v>
      </c>
      <c r="H291" s="0" t="n">
        <v>0.0116</v>
      </c>
      <c r="I291" s="0" t="n">
        <v>2</v>
      </c>
      <c r="J291" s="0" t="s">
        <v>62</v>
      </c>
      <c r="K291" s="0" t="s">
        <v>1279</v>
      </c>
      <c r="L291" s="0" t="s">
        <v>1280</v>
      </c>
      <c r="M291" s="0" t="s">
        <v>65</v>
      </c>
      <c r="N291" s="0" t="n">
        <v>19.5072</v>
      </c>
      <c r="O291" s="0" t="n">
        <v>28</v>
      </c>
      <c r="P291" s="0" t="n">
        <v>0.0079</v>
      </c>
      <c r="Q291" s="0" t="n">
        <v>106.6746</v>
      </c>
      <c r="R291" s="0" t="n">
        <v>0.0354</v>
      </c>
      <c r="S291" s="0" t="n">
        <v>106.9238</v>
      </c>
      <c r="T291" s="0" t="n">
        <v>17.5875</v>
      </c>
      <c r="U291" s="0" t="n">
        <v>17.5183</v>
      </c>
      <c r="V291" s="0" t="n">
        <v>336.6419</v>
      </c>
      <c r="W291" s="0" t="n">
        <v>0.1869</v>
      </c>
      <c r="X291" s="0" t="n">
        <v>17.5183</v>
      </c>
      <c r="Y291" s="0" t="n">
        <v>336.6419</v>
      </c>
      <c r="Z291" s="0" t="n">
        <v>0</v>
      </c>
      <c r="AA291" s="0" t="n">
        <v>0</v>
      </c>
      <c r="AB291" s="0" t="n">
        <v>5</v>
      </c>
      <c r="AC291" s="0" t="s">
        <v>86</v>
      </c>
      <c r="AD291" s="0" t="n">
        <v>100</v>
      </c>
      <c r="AE291" s="0" t="n">
        <v>106.67</v>
      </c>
      <c r="AF291" s="0" t="n">
        <v>59.74</v>
      </c>
      <c r="AG291" s="0" t="n">
        <v>2E-006</v>
      </c>
      <c r="AH291" s="4" t="b">
        <f aca="false">FALSE()</f>
        <v>0</v>
      </c>
      <c r="AJ291" s="4" t="b">
        <f aca="false">FALSE()</f>
        <v>0</v>
      </c>
      <c r="AK291" s="4" t="b">
        <f aca="false">FALSE()</f>
        <v>0</v>
      </c>
      <c r="AL291" s="0" t="s">
        <v>1246</v>
      </c>
      <c r="AM291" s="0" t="n">
        <v>9.7927</v>
      </c>
      <c r="AN291" s="0" t="n">
        <v>-8.8949</v>
      </c>
      <c r="AO291" s="0" t="n">
        <v>20.4831</v>
      </c>
      <c r="AP291" s="0" t="n">
        <v>-16.892</v>
      </c>
      <c r="AQ291" s="0" t="n">
        <v>44.5574</v>
      </c>
      <c r="AR291" s="0" t="n">
        <v>-30.1929</v>
      </c>
    </row>
    <row r="292" customFormat="false" ht="15" hidden="false" customHeight="false" outlineLevel="0" collapsed="false">
      <c r="A292" s="0" t="s">
        <v>1281</v>
      </c>
      <c r="B292" s="0" t="s">
        <v>1282</v>
      </c>
      <c r="C292" s="0" t="s">
        <v>1283</v>
      </c>
      <c r="D292" s="0" t="s">
        <v>59</v>
      </c>
      <c r="E292" s="0" t="s">
        <v>60</v>
      </c>
      <c r="F292" s="0" t="s">
        <v>1284</v>
      </c>
      <c r="G292" s="0" t="n">
        <v>100</v>
      </c>
      <c r="H292" s="0" t="n">
        <v>0.0397</v>
      </c>
      <c r="I292" s="0" t="n">
        <v>2</v>
      </c>
      <c r="J292" s="0" t="s">
        <v>62</v>
      </c>
      <c r="K292" s="0" t="s">
        <v>1285</v>
      </c>
      <c r="L292" s="0" t="s">
        <v>1286</v>
      </c>
      <c r="M292" s="0" t="s">
        <v>65</v>
      </c>
      <c r="N292" s="0" t="n">
        <v>2.7077</v>
      </c>
      <c r="O292" s="0" t="n">
        <v>9</v>
      </c>
      <c r="P292" s="0" t="n">
        <v>0.0422</v>
      </c>
      <c r="Q292" s="0" t="n">
        <v>99.4127</v>
      </c>
      <c r="R292" s="0" t="n">
        <v>0.9789</v>
      </c>
      <c r="S292" s="0" t="n">
        <v>99.6977</v>
      </c>
      <c r="T292" s="0" t="n">
        <v>2.4042</v>
      </c>
      <c r="U292" s="0" t="n">
        <v>2.3545</v>
      </c>
      <c r="V292" s="0" t="n">
        <v>6.8268</v>
      </c>
      <c r="W292" s="0" t="n">
        <v>0.0234</v>
      </c>
      <c r="X292" s="0" t="n">
        <v>2.3545</v>
      </c>
      <c r="Y292" s="0" t="n">
        <v>6.8268</v>
      </c>
      <c r="Z292" s="0" t="n">
        <v>0</v>
      </c>
      <c r="AA292" s="0" t="n">
        <v>0</v>
      </c>
      <c r="AB292" s="0" t="n">
        <v>5</v>
      </c>
      <c r="AC292" s="0" t="s">
        <v>66</v>
      </c>
      <c r="AD292" s="0" t="n">
        <v>5000</v>
      </c>
      <c r="AE292" s="0" t="n">
        <v>4970.64</v>
      </c>
      <c r="AF292" s="0" t="n">
        <v>269905.75</v>
      </c>
      <c r="AG292" s="0" t="n">
        <v>0.008419</v>
      </c>
      <c r="AH292" s="4" t="b">
        <f aca="false">FALSE()</f>
        <v>0</v>
      </c>
      <c r="AJ292" s="4" t="b">
        <f aca="false">FALSE()</f>
        <v>0</v>
      </c>
      <c r="AK292" s="4" t="b">
        <f aca="false">FALSE()</f>
        <v>0</v>
      </c>
      <c r="AL292" s="0" t="s">
        <v>1287</v>
      </c>
      <c r="AM292" s="0" t="n">
        <v>1.1788</v>
      </c>
      <c r="AN292" s="0" t="n">
        <v>-1.1619</v>
      </c>
      <c r="AO292" s="0" t="n">
        <v>2.3746</v>
      </c>
      <c r="AP292" s="0" t="n">
        <v>-2.3067</v>
      </c>
      <c r="AQ292" s="0" t="n">
        <v>4.8171</v>
      </c>
      <c r="AR292" s="0" t="n">
        <v>-4.5456</v>
      </c>
    </row>
    <row r="293" customFormat="false" ht="15" hidden="false" customHeight="false" outlineLevel="0" collapsed="false">
      <c r="A293" s="0" t="s">
        <v>1288</v>
      </c>
      <c r="B293" s="0" t="s">
        <v>1289</v>
      </c>
      <c r="C293" s="0" t="s">
        <v>1283</v>
      </c>
      <c r="D293" s="0" t="s">
        <v>59</v>
      </c>
      <c r="E293" s="0" t="s">
        <v>60</v>
      </c>
      <c r="F293" s="0" t="s">
        <v>1284</v>
      </c>
      <c r="G293" s="0" t="n">
        <v>100</v>
      </c>
      <c r="H293" s="0" t="n">
        <v>0.0346</v>
      </c>
      <c r="I293" s="0" t="n">
        <v>2</v>
      </c>
      <c r="J293" s="0" t="s">
        <v>62</v>
      </c>
      <c r="K293" s="0" t="s">
        <v>1290</v>
      </c>
      <c r="L293" s="0" t="s">
        <v>1291</v>
      </c>
      <c r="M293" s="0" t="s">
        <v>65</v>
      </c>
      <c r="N293" s="0" t="n">
        <v>4.5585</v>
      </c>
      <c r="O293" s="0" t="n">
        <v>9</v>
      </c>
      <c r="P293" s="0" t="n">
        <v>0.0393</v>
      </c>
      <c r="Q293" s="0" t="n">
        <v>98.0787</v>
      </c>
      <c r="R293" s="0" t="n">
        <v>0.2013</v>
      </c>
      <c r="S293" s="0" t="n">
        <v>98.33</v>
      </c>
      <c r="T293" s="0" t="n">
        <v>4.2022</v>
      </c>
      <c r="U293" s="0" t="n">
        <v>4.1212</v>
      </c>
      <c r="V293" s="0" t="n">
        <v>19.7425</v>
      </c>
      <c r="W293" s="0" t="n">
        <v>0.0404</v>
      </c>
      <c r="X293" s="0" t="n">
        <v>4.1212</v>
      </c>
      <c r="Y293" s="0" t="n">
        <v>19.7425</v>
      </c>
      <c r="Z293" s="0" t="n">
        <v>0</v>
      </c>
      <c r="AA293" s="0" t="n">
        <v>0</v>
      </c>
      <c r="AB293" s="0" t="n">
        <v>1</v>
      </c>
      <c r="AC293" s="0" t="s">
        <v>230</v>
      </c>
      <c r="AD293" s="0" t="n">
        <v>1000</v>
      </c>
      <c r="AE293" s="0" t="n">
        <v>980.79</v>
      </c>
      <c r="AF293" s="0" t="n">
        <v>53256.9</v>
      </c>
      <c r="AG293" s="0" t="n">
        <v>0.001661</v>
      </c>
      <c r="AH293" s="4" t="b">
        <f aca="false">FALSE()</f>
        <v>0</v>
      </c>
      <c r="AJ293" s="4" t="b">
        <f aca="false">FALSE()</f>
        <v>0</v>
      </c>
      <c r="AK293" s="4" t="b">
        <f aca="false">FALSE()</f>
        <v>0</v>
      </c>
      <c r="AL293" s="0" t="s">
        <v>1287</v>
      </c>
      <c r="AM293" s="0" t="n">
        <v>2.0452</v>
      </c>
      <c r="AN293" s="0" t="n">
        <v>-1.9968</v>
      </c>
      <c r="AO293" s="0" t="n">
        <v>4.1388</v>
      </c>
      <c r="AP293" s="0" t="n">
        <v>-3.9452</v>
      </c>
      <c r="AQ293" s="0" t="n">
        <v>8.4713</v>
      </c>
      <c r="AR293" s="0" t="n">
        <v>-7.6968</v>
      </c>
    </row>
    <row r="294" customFormat="false" ht="15" hidden="false" customHeight="false" outlineLevel="0" collapsed="false">
      <c r="A294" s="0" t="s">
        <v>1292</v>
      </c>
      <c r="B294" s="0" t="s">
        <v>1293</v>
      </c>
      <c r="C294" s="0" t="s">
        <v>1283</v>
      </c>
      <c r="D294" s="0" t="s">
        <v>59</v>
      </c>
      <c r="E294" s="0" t="s">
        <v>60</v>
      </c>
      <c r="F294" s="0" t="s">
        <v>1284</v>
      </c>
      <c r="G294" s="0" t="n">
        <v>100</v>
      </c>
      <c r="H294" s="0" t="n">
        <v>0.0267</v>
      </c>
      <c r="I294" s="0" t="n">
        <v>2</v>
      </c>
      <c r="J294" s="0" t="s">
        <v>62</v>
      </c>
      <c r="K294" s="0" t="s">
        <v>1294</v>
      </c>
      <c r="L294" s="0" t="s">
        <v>1295</v>
      </c>
      <c r="M294" s="0" t="s">
        <v>65</v>
      </c>
      <c r="N294" s="0" t="n">
        <v>2.245</v>
      </c>
      <c r="O294" s="0" t="n">
        <v>10</v>
      </c>
      <c r="P294" s="0" t="n">
        <v>0.0395</v>
      </c>
      <c r="Q294" s="0" t="n">
        <v>97.5616</v>
      </c>
      <c r="R294" s="0" t="n">
        <v>0.1343</v>
      </c>
      <c r="S294" s="0" t="n">
        <v>97.7496</v>
      </c>
      <c r="T294" s="0" t="n">
        <v>1.9603</v>
      </c>
      <c r="U294" s="0" t="n">
        <v>1.9223</v>
      </c>
      <c r="V294" s="0" t="n">
        <v>4.681</v>
      </c>
      <c r="W294" s="0" t="n">
        <v>0.0188</v>
      </c>
      <c r="X294" s="0" t="n">
        <v>1.9223</v>
      </c>
      <c r="Y294" s="0" t="n">
        <v>4.681</v>
      </c>
      <c r="Z294" s="0" t="n">
        <v>0</v>
      </c>
      <c r="AA294" s="0" t="n">
        <v>0</v>
      </c>
      <c r="AB294" s="0" t="n">
        <v>-3</v>
      </c>
      <c r="AC294" s="0" t="s">
        <v>66</v>
      </c>
      <c r="AD294" s="0" t="n">
        <v>2000</v>
      </c>
      <c r="AE294" s="0" t="n">
        <v>1951.23</v>
      </c>
      <c r="AF294" s="0" t="n">
        <v>105951.79</v>
      </c>
      <c r="AG294" s="0" t="n">
        <v>0.003305</v>
      </c>
      <c r="AH294" s="4" t="b">
        <f aca="false">FALSE()</f>
        <v>0</v>
      </c>
      <c r="AJ294" s="4" t="b">
        <f aca="false">FALSE()</f>
        <v>0</v>
      </c>
      <c r="AK294" s="4" t="b">
        <f aca="false">FALSE()</f>
        <v>0</v>
      </c>
      <c r="AL294" s="0" t="s">
        <v>1287</v>
      </c>
      <c r="AM294" s="0" t="n">
        <v>0.9434</v>
      </c>
      <c r="AN294" s="0" t="n">
        <v>-0.932</v>
      </c>
      <c r="AO294" s="0" t="n">
        <v>1.8983</v>
      </c>
      <c r="AP294" s="0" t="n">
        <v>-1.8526</v>
      </c>
      <c r="AQ294" s="0" t="n">
        <v>3.8422</v>
      </c>
      <c r="AR294" s="0" t="n">
        <v>-3.6595</v>
      </c>
    </row>
    <row r="295" customFormat="false" ht="15" hidden="false" customHeight="false" outlineLevel="0" collapsed="false">
      <c r="A295" s="0" t="s">
        <v>1296</v>
      </c>
      <c r="B295" s="0" t="s">
        <v>1297</v>
      </c>
      <c r="C295" s="0" t="s">
        <v>1283</v>
      </c>
      <c r="D295" s="0" t="s">
        <v>59</v>
      </c>
      <c r="E295" s="0" t="s">
        <v>60</v>
      </c>
      <c r="F295" s="0" t="s">
        <v>1284</v>
      </c>
      <c r="G295" s="0" t="n">
        <v>100</v>
      </c>
      <c r="H295" s="0" t="n">
        <v>0.0345</v>
      </c>
      <c r="I295" s="0" t="n">
        <v>2</v>
      </c>
      <c r="J295" s="0" t="s">
        <v>62</v>
      </c>
      <c r="K295" s="0" t="s">
        <v>1298</v>
      </c>
      <c r="L295" s="0" t="s">
        <v>1299</v>
      </c>
      <c r="M295" s="0" t="s">
        <v>65</v>
      </c>
      <c r="N295" s="0" t="n">
        <v>0.9008</v>
      </c>
      <c r="O295" s="0" t="n">
        <v>11</v>
      </c>
      <c r="P295" s="0" t="n">
        <v>0.0438</v>
      </c>
      <c r="Q295" s="0" t="n">
        <v>99.545</v>
      </c>
      <c r="R295" s="0" t="n">
        <v>0.2851</v>
      </c>
      <c r="S295" s="0" t="n">
        <v>99.8365</v>
      </c>
      <c r="T295" s="0" t="n">
        <v>0.5</v>
      </c>
      <c r="U295" s="0" t="n">
        <v>0.4893</v>
      </c>
      <c r="V295" s="0" t="n">
        <v>0.4788</v>
      </c>
      <c r="W295" s="0" t="n">
        <v>0.0049</v>
      </c>
      <c r="X295" s="0" t="n">
        <v>0.4893</v>
      </c>
      <c r="Y295" s="0" t="n">
        <v>0.4788</v>
      </c>
      <c r="Z295" s="0" t="n">
        <v>0</v>
      </c>
      <c r="AA295" s="0" t="n">
        <v>0</v>
      </c>
      <c r="AB295" s="0" t="n">
        <v>10</v>
      </c>
      <c r="AC295" s="0" t="s">
        <v>173</v>
      </c>
      <c r="AD295" s="0" t="n">
        <v>100</v>
      </c>
      <c r="AE295" s="0" t="n">
        <v>99.55</v>
      </c>
      <c r="AF295" s="0" t="n">
        <v>5405.56</v>
      </c>
      <c r="AG295" s="0" t="n">
        <v>0.000169</v>
      </c>
      <c r="AH295" s="4" t="b">
        <f aca="false">FALSE()</f>
        <v>0</v>
      </c>
      <c r="AJ295" s="4" t="b">
        <f aca="false">FALSE()</f>
        <v>0</v>
      </c>
      <c r="AK295" s="4" t="b">
        <f aca="false">FALSE()</f>
        <v>0</v>
      </c>
      <c r="AL295" s="0" t="s">
        <v>1287</v>
      </c>
      <c r="AM295" s="0" t="n">
        <v>0.2441</v>
      </c>
      <c r="AN295" s="0" t="n">
        <v>-0.2429</v>
      </c>
      <c r="AO295" s="0" t="n">
        <v>0.4895</v>
      </c>
      <c r="AP295" s="0" t="n">
        <v>-0.4847</v>
      </c>
      <c r="AQ295" s="0" t="n">
        <v>0.9837</v>
      </c>
      <c r="AR295" s="0" t="n">
        <v>-0.9646</v>
      </c>
    </row>
    <row r="296" customFormat="false" ht="15" hidden="false" customHeight="false" outlineLevel="0" collapsed="false">
      <c r="A296" s="0" t="s">
        <v>1300</v>
      </c>
      <c r="B296" s="0" t="s">
        <v>1301</v>
      </c>
      <c r="C296" s="0" t="s">
        <v>1283</v>
      </c>
      <c r="D296" s="0" t="s">
        <v>59</v>
      </c>
      <c r="E296" s="0" t="s">
        <v>60</v>
      </c>
      <c r="F296" s="0" t="s">
        <v>1284</v>
      </c>
      <c r="G296" s="0" t="n">
        <v>100</v>
      </c>
      <c r="H296" s="0" t="n">
        <v>0.0386</v>
      </c>
      <c r="I296" s="0" t="n">
        <v>2</v>
      </c>
      <c r="J296" s="0" t="s">
        <v>62</v>
      </c>
      <c r="K296" s="0" t="s">
        <v>1302</v>
      </c>
      <c r="L296" s="0" t="s">
        <v>1303</v>
      </c>
      <c r="M296" s="0" t="s">
        <v>65</v>
      </c>
      <c r="N296" s="0" t="n">
        <v>0.6653</v>
      </c>
      <c r="O296" s="0" t="n">
        <v>2</v>
      </c>
      <c r="P296" s="0" t="n">
        <v>0.0401</v>
      </c>
      <c r="Q296" s="0" t="n">
        <v>99.9265</v>
      </c>
      <c r="R296" s="0" t="n">
        <v>0.6545</v>
      </c>
      <c r="S296" s="0" t="n">
        <v>100.4622</v>
      </c>
      <c r="T296" s="0" t="n">
        <v>0.5</v>
      </c>
      <c r="U296" s="0" t="n">
        <v>0.4902</v>
      </c>
      <c r="V296" s="0" t="n">
        <v>0.4805</v>
      </c>
      <c r="W296" s="0" t="n">
        <v>0.0049</v>
      </c>
      <c r="X296" s="0" t="n">
        <v>0.4902</v>
      </c>
      <c r="Y296" s="0" t="n">
        <v>0.4805</v>
      </c>
      <c r="Z296" s="0" t="n">
        <v>0</v>
      </c>
      <c r="AA296" s="0" t="n">
        <v>0</v>
      </c>
      <c r="AB296" s="0" t="n">
        <v>-5</v>
      </c>
      <c r="AC296" s="0" t="s">
        <v>173</v>
      </c>
      <c r="AD296" s="0" t="n">
        <v>2000</v>
      </c>
      <c r="AE296" s="0" t="n">
        <v>1998.53</v>
      </c>
      <c r="AF296" s="0" t="n">
        <v>108520.18</v>
      </c>
      <c r="AG296" s="0" t="n">
        <v>0.003385</v>
      </c>
      <c r="AH296" s="4" t="b">
        <f aca="false">FALSE()</f>
        <v>0</v>
      </c>
      <c r="AJ296" s="4" t="b">
        <f aca="false">FALSE()</f>
        <v>0</v>
      </c>
      <c r="AK296" s="4" t="b">
        <f aca="false">FALSE()</f>
        <v>0</v>
      </c>
      <c r="AL296" s="0" t="s">
        <v>1287</v>
      </c>
      <c r="AM296" s="0" t="n">
        <v>0.2455</v>
      </c>
      <c r="AN296" s="0" t="n">
        <v>-0.2443</v>
      </c>
      <c r="AO296" s="0" t="n">
        <v>0.4922</v>
      </c>
      <c r="AP296" s="0" t="n">
        <v>-0.4874</v>
      </c>
      <c r="AQ296" s="0" t="n">
        <v>0.9893</v>
      </c>
      <c r="AR296" s="0" t="n">
        <v>-0.9701</v>
      </c>
    </row>
    <row r="297" customFormat="false" ht="15" hidden="false" customHeight="false" outlineLevel="0" collapsed="false">
      <c r="A297" s="0" t="s">
        <v>1304</v>
      </c>
      <c r="B297" s="0" t="s">
        <v>1305</v>
      </c>
      <c r="C297" s="0" t="s">
        <v>1283</v>
      </c>
      <c r="D297" s="0" t="s">
        <v>59</v>
      </c>
      <c r="E297" s="0" t="s">
        <v>60</v>
      </c>
      <c r="F297" s="0" t="s">
        <v>1284</v>
      </c>
      <c r="G297" s="0" t="n">
        <v>100</v>
      </c>
      <c r="H297" s="0" t="n">
        <v>0.0325</v>
      </c>
      <c r="I297" s="0" t="n">
        <v>2</v>
      </c>
      <c r="J297" s="0" t="s">
        <v>62</v>
      </c>
      <c r="K297" s="0" t="s">
        <v>1306</v>
      </c>
      <c r="L297" s="0" t="s">
        <v>1307</v>
      </c>
      <c r="M297" s="0" t="s">
        <v>65</v>
      </c>
      <c r="N297" s="0" t="n">
        <v>12.1697</v>
      </c>
      <c r="O297" s="0" t="n">
        <v>15</v>
      </c>
      <c r="P297" s="0" t="n">
        <v>0.0422</v>
      </c>
      <c r="Q297" s="0" t="n">
        <v>90.94</v>
      </c>
      <c r="R297" s="0" t="n">
        <v>0.4836</v>
      </c>
      <c r="S297" s="0" t="n">
        <v>91.6425</v>
      </c>
      <c r="T297" s="0" t="n">
        <v>9.9144</v>
      </c>
      <c r="U297" s="0" t="n">
        <v>9.7095</v>
      </c>
      <c r="V297" s="0" t="n">
        <v>111.1426</v>
      </c>
      <c r="W297" s="0" t="n">
        <v>0.0883</v>
      </c>
      <c r="X297" s="0" t="n">
        <v>9.7095</v>
      </c>
      <c r="Y297" s="0" t="n">
        <v>111.1426</v>
      </c>
      <c r="Z297" s="0" t="n">
        <v>0</v>
      </c>
      <c r="AA297" s="0" t="n">
        <v>0</v>
      </c>
      <c r="AB297" s="0" t="n">
        <v>4</v>
      </c>
      <c r="AC297" s="0" t="s">
        <v>152</v>
      </c>
      <c r="AD297" s="0" t="n">
        <v>100</v>
      </c>
      <c r="AE297" s="0" t="n">
        <v>90.94</v>
      </c>
      <c r="AF297" s="0" t="n">
        <v>4938.04</v>
      </c>
      <c r="AG297" s="0" t="n">
        <v>0.000154</v>
      </c>
      <c r="AH297" s="4" t="b">
        <f aca="false">FALSE()</f>
        <v>0</v>
      </c>
      <c r="AJ297" s="4" t="b">
        <f aca="false">FALSE()</f>
        <v>0</v>
      </c>
      <c r="AK297" s="4" t="b">
        <f aca="false">FALSE()</f>
        <v>0</v>
      </c>
      <c r="AL297" s="0" t="s">
        <v>1287</v>
      </c>
      <c r="AM297" s="0" t="n">
        <v>4.5413</v>
      </c>
      <c r="AN297" s="0" t="n">
        <v>-4.2886</v>
      </c>
      <c r="AO297" s="0" t="n">
        <v>9.3352</v>
      </c>
      <c r="AP297" s="0" t="n">
        <v>-8.3245</v>
      </c>
      <c r="AQ297" s="0" t="n">
        <v>19.6811</v>
      </c>
      <c r="AR297" s="0" t="n">
        <v>-15.6382</v>
      </c>
    </row>
    <row r="298" customFormat="false" ht="15" hidden="false" customHeight="false" outlineLevel="0" collapsed="false">
      <c r="A298" s="0" t="s">
        <v>1308</v>
      </c>
      <c r="B298" s="0" t="s">
        <v>1309</v>
      </c>
      <c r="C298" s="0" t="s">
        <v>1283</v>
      </c>
      <c r="D298" s="0" t="s">
        <v>59</v>
      </c>
      <c r="E298" s="0" t="s">
        <v>60</v>
      </c>
      <c r="F298" s="0" t="s">
        <v>1284</v>
      </c>
      <c r="G298" s="0" t="n">
        <v>100</v>
      </c>
      <c r="H298" s="0" t="n">
        <v>0.0243</v>
      </c>
      <c r="I298" s="0" t="n">
        <v>2</v>
      </c>
      <c r="J298" s="0" t="s">
        <v>62</v>
      </c>
      <c r="K298" s="0" t="s">
        <v>1310</v>
      </c>
      <c r="L298" s="0" t="s">
        <v>1311</v>
      </c>
      <c r="M298" s="0" t="s">
        <v>65</v>
      </c>
      <c r="N298" s="0" t="n">
        <v>4.6242</v>
      </c>
      <c r="O298" s="0" t="n">
        <v>6</v>
      </c>
      <c r="P298" s="0" t="n">
        <v>0.0406</v>
      </c>
      <c r="Q298" s="0" t="n">
        <v>93.3573</v>
      </c>
      <c r="R298" s="0" t="n">
        <v>0.4725</v>
      </c>
      <c r="S298" s="0" t="n">
        <v>93.9122</v>
      </c>
      <c r="T298" s="0" t="n">
        <v>4.2807</v>
      </c>
      <c r="U298" s="0" t="n">
        <v>4.1955</v>
      </c>
      <c r="V298" s="0" t="n">
        <v>20.2176</v>
      </c>
      <c r="W298" s="0" t="n">
        <v>0.0392</v>
      </c>
      <c r="X298" s="0" t="n">
        <v>4.1955</v>
      </c>
      <c r="Y298" s="0" t="n">
        <v>20.2176</v>
      </c>
      <c r="Z298" s="0" t="n">
        <v>0</v>
      </c>
      <c r="AA298" s="0" t="n">
        <v>0</v>
      </c>
      <c r="AB298" s="0" t="n">
        <v>9</v>
      </c>
      <c r="AC298" s="0" t="s">
        <v>230</v>
      </c>
      <c r="AD298" s="0" t="n">
        <v>50</v>
      </c>
      <c r="AE298" s="0" t="n">
        <v>46.68</v>
      </c>
      <c r="AF298" s="0" t="n">
        <v>2534.72</v>
      </c>
      <c r="AG298" s="0" t="n">
        <v>7.9E-005</v>
      </c>
      <c r="AH298" s="4" t="b">
        <f aca="false">FALSE()</f>
        <v>0</v>
      </c>
      <c r="AJ298" s="4" t="b">
        <f aca="false">FALSE()</f>
        <v>0</v>
      </c>
      <c r="AK298" s="4" t="b">
        <f aca="false">FALSE()</f>
        <v>0</v>
      </c>
      <c r="AL298" s="0" t="s">
        <v>1287</v>
      </c>
      <c r="AM298" s="0" t="n">
        <v>1.982</v>
      </c>
      <c r="AN298" s="0" t="n">
        <v>-1.9348</v>
      </c>
      <c r="AO298" s="0" t="n">
        <v>4.0112</v>
      </c>
      <c r="AP298" s="0" t="n">
        <v>-3.8224</v>
      </c>
      <c r="AQ298" s="0" t="n">
        <v>8.2111</v>
      </c>
      <c r="AR298" s="0" t="n">
        <v>-7.4561</v>
      </c>
    </row>
    <row r="299" customFormat="false" ht="15" hidden="false" customHeight="false" outlineLevel="0" collapsed="false">
      <c r="A299" s="0" t="s">
        <v>1312</v>
      </c>
      <c r="B299" s="0" t="s">
        <v>1313</v>
      </c>
      <c r="C299" s="0" t="s">
        <v>1283</v>
      </c>
      <c r="D299" s="0" t="s">
        <v>59</v>
      </c>
      <c r="E299" s="0" t="s">
        <v>60</v>
      </c>
      <c r="F299" s="0" t="s">
        <v>1284</v>
      </c>
      <c r="G299" s="0" t="n">
        <v>100</v>
      </c>
      <c r="H299" s="0" t="n">
        <v>0.0355</v>
      </c>
      <c r="I299" s="0" t="n">
        <v>2</v>
      </c>
      <c r="J299" s="0" t="s">
        <v>62</v>
      </c>
      <c r="K299" s="0" t="s">
        <v>1314</v>
      </c>
      <c r="L299" s="0" t="s">
        <v>812</v>
      </c>
      <c r="M299" s="0" t="s">
        <v>65</v>
      </c>
      <c r="N299" s="0" t="n">
        <v>1.191</v>
      </c>
      <c r="O299" s="0" t="n">
        <v>4</v>
      </c>
      <c r="P299" s="0" t="n">
        <v>0.0387</v>
      </c>
      <c r="Q299" s="0" t="n">
        <v>99.6891</v>
      </c>
      <c r="R299" s="0" t="n">
        <v>0.6006</v>
      </c>
      <c r="S299" s="0" t="n">
        <v>99.8069</v>
      </c>
      <c r="T299" s="0" t="n">
        <v>0.9913</v>
      </c>
      <c r="U299" s="0" t="n">
        <v>0.9725</v>
      </c>
      <c r="V299" s="0" t="n">
        <v>1.4268</v>
      </c>
      <c r="W299" s="0" t="n">
        <v>0.0097</v>
      </c>
      <c r="X299" s="0" t="n">
        <v>0.9725</v>
      </c>
      <c r="Y299" s="0" t="n">
        <v>1.4268</v>
      </c>
      <c r="Z299" s="0" t="n">
        <v>0</v>
      </c>
      <c r="AA299" s="0" t="n">
        <v>0</v>
      </c>
      <c r="AB299" s="0" t="n">
        <v>-4</v>
      </c>
      <c r="AC299" s="0" t="s">
        <v>91</v>
      </c>
      <c r="AD299" s="0" t="n">
        <v>1000</v>
      </c>
      <c r="AE299" s="0" t="n">
        <v>996.89</v>
      </c>
      <c r="AF299" s="0" t="n">
        <v>54131.13</v>
      </c>
      <c r="AG299" s="0" t="n">
        <v>0.001688</v>
      </c>
      <c r="AH299" s="4" t="b">
        <f aca="false">FALSE()</f>
        <v>0</v>
      </c>
      <c r="AJ299" s="4" t="b">
        <f aca="false">FALSE()</f>
        <v>0</v>
      </c>
      <c r="AK299" s="4" t="b">
        <f aca="false">FALSE()</f>
        <v>0</v>
      </c>
      <c r="AL299" s="0" t="s">
        <v>1287</v>
      </c>
      <c r="AM299" s="0" t="n">
        <v>0.4865</v>
      </c>
      <c r="AN299" s="0" t="n">
        <v>-0.483</v>
      </c>
      <c r="AO299" s="0" t="n">
        <v>0.9766</v>
      </c>
      <c r="AP299" s="0" t="n">
        <v>-0.9624</v>
      </c>
      <c r="AQ299" s="0" t="n">
        <v>1.9674</v>
      </c>
      <c r="AR299" s="0" t="n">
        <v>-1.9105</v>
      </c>
    </row>
    <row r="300" customFormat="false" ht="15" hidden="false" customHeight="false" outlineLevel="0" collapsed="false">
      <c r="A300" s="0" t="s">
        <v>1315</v>
      </c>
      <c r="B300" s="0" t="s">
        <v>1316</v>
      </c>
      <c r="C300" s="0" t="s">
        <v>1283</v>
      </c>
      <c r="D300" s="0" t="s">
        <v>59</v>
      </c>
      <c r="E300" s="0" t="s">
        <v>60</v>
      </c>
      <c r="F300" s="0" t="s">
        <v>1284</v>
      </c>
      <c r="G300" s="0" t="n">
        <v>100</v>
      </c>
      <c r="H300" s="0" t="n">
        <v>0.0293</v>
      </c>
      <c r="I300" s="0" t="n">
        <v>2</v>
      </c>
      <c r="J300" s="0" t="s">
        <v>62</v>
      </c>
      <c r="K300" s="0" t="s">
        <v>1317</v>
      </c>
      <c r="L300" s="0" t="s">
        <v>1318</v>
      </c>
      <c r="M300" s="0" t="s">
        <v>65</v>
      </c>
      <c r="N300" s="0" t="n">
        <v>1.3963</v>
      </c>
      <c r="O300" s="0" t="n">
        <v>2</v>
      </c>
      <c r="P300" s="0" t="n">
        <v>0.0434</v>
      </c>
      <c r="Q300" s="0" t="n">
        <v>98.6346</v>
      </c>
      <c r="R300" s="0" t="n">
        <v>0.2289</v>
      </c>
      <c r="S300" s="0" t="n">
        <v>99.0577</v>
      </c>
      <c r="T300" s="0" t="n">
        <v>0.9927</v>
      </c>
      <c r="U300" s="0" t="n">
        <v>0.9716</v>
      </c>
      <c r="V300" s="0" t="n">
        <v>1.423</v>
      </c>
      <c r="W300" s="0" t="n">
        <v>0.0096</v>
      </c>
      <c r="X300" s="0" t="n">
        <v>0.9716</v>
      </c>
      <c r="Y300" s="0" t="n">
        <v>1.423</v>
      </c>
      <c r="Z300" s="0" t="n">
        <v>0</v>
      </c>
      <c r="AA300" s="0" t="n">
        <v>0</v>
      </c>
      <c r="AB300" s="0" t="n">
        <v>4</v>
      </c>
      <c r="AC300" s="0" t="s">
        <v>91</v>
      </c>
      <c r="AD300" s="0" t="n">
        <v>2000</v>
      </c>
      <c r="AE300" s="0" t="n">
        <v>1972.69</v>
      </c>
      <c r="AF300" s="0" t="n">
        <v>107117.07</v>
      </c>
      <c r="AG300" s="0" t="n">
        <v>0.003341</v>
      </c>
      <c r="AH300" s="4" t="b">
        <f aca="false">FALSE()</f>
        <v>0</v>
      </c>
      <c r="AJ300" s="4" t="b">
        <f aca="false">FALSE()</f>
        <v>0</v>
      </c>
      <c r="AK300" s="4" t="b">
        <f aca="false">FALSE()</f>
        <v>0</v>
      </c>
      <c r="AL300" s="0" t="s">
        <v>1287</v>
      </c>
      <c r="AM300" s="0" t="n">
        <v>0.4809</v>
      </c>
      <c r="AN300" s="0" t="n">
        <v>-0.4774</v>
      </c>
      <c r="AO300" s="0" t="n">
        <v>0.9654</v>
      </c>
      <c r="AP300" s="0" t="n">
        <v>-0.9513</v>
      </c>
      <c r="AQ300" s="0" t="n">
        <v>1.9447</v>
      </c>
      <c r="AR300" s="0" t="n">
        <v>-1.8886</v>
      </c>
    </row>
    <row r="301" customFormat="false" ht="15" hidden="false" customHeight="false" outlineLevel="0" collapsed="false">
      <c r="A301" s="0" t="s">
        <v>1319</v>
      </c>
      <c r="B301" s="0" t="s">
        <v>1320</v>
      </c>
      <c r="C301" s="0" t="s">
        <v>1283</v>
      </c>
      <c r="D301" s="0" t="s">
        <v>59</v>
      </c>
      <c r="E301" s="0" t="s">
        <v>60</v>
      </c>
      <c r="F301" s="0" t="s">
        <v>1284</v>
      </c>
      <c r="G301" s="0" t="n">
        <v>100</v>
      </c>
      <c r="H301" s="0" t="n">
        <v>0.0255</v>
      </c>
      <c r="I301" s="0" t="n">
        <v>2</v>
      </c>
      <c r="J301" s="0" t="s">
        <v>62</v>
      </c>
      <c r="K301" s="0" t="s">
        <v>1321</v>
      </c>
      <c r="L301" s="0" t="s">
        <v>1322</v>
      </c>
      <c r="M301" s="0" t="s">
        <v>65</v>
      </c>
      <c r="N301" s="0" t="n">
        <v>2.6776</v>
      </c>
      <c r="O301" s="0" t="n">
        <v>4</v>
      </c>
      <c r="P301" s="0" t="n">
        <v>0.0381</v>
      </c>
      <c r="Q301" s="0" t="n">
        <v>97.0223</v>
      </c>
      <c r="R301" s="0" t="n">
        <v>0.3568</v>
      </c>
      <c r="S301" s="0" t="n">
        <v>97.0876</v>
      </c>
      <c r="T301" s="0" t="n">
        <v>2.4367</v>
      </c>
      <c r="U301" s="0" t="n">
        <v>2.3911</v>
      </c>
      <c r="V301" s="0" t="n">
        <v>6.979</v>
      </c>
      <c r="W301" s="0" t="n">
        <v>0.0232</v>
      </c>
      <c r="X301" s="0" t="n">
        <v>2.3911</v>
      </c>
      <c r="Y301" s="0" t="n">
        <v>6.979</v>
      </c>
      <c r="Z301" s="0" t="n">
        <v>0</v>
      </c>
      <c r="AA301" s="0" t="n">
        <v>0</v>
      </c>
      <c r="AB301" s="0" t="n">
        <v>6</v>
      </c>
      <c r="AC301" s="0" t="s">
        <v>66</v>
      </c>
      <c r="AD301" s="0" t="n">
        <v>1000</v>
      </c>
      <c r="AE301" s="0" t="n">
        <v>970.22</v>
      </c>
      <c r="AF301" s="0" t="n">
        <v>52682.95</v>
      </c>
      <c r="AG301" s="0" t="n">
        <v>0.001643</v>
      </c>
      <c r="AH301" s="4" t="b">
        <f aca="false">FALSE()</f>
        <v>0</v>
      </c>
      <c r="AJ301" s="4" t="b">
        <f aca="false">FALSE()</f>
        <v>0</v>
      </c>
      <c r="AK301" s="4" t="b">
        <f aca="false">FALSE()</f>
        <v>0</v>
      </c>
      <c r="AL301" s="0" t="s">
        <v>1287</v>
      </c>
      <c r="AM301" s="0" t="n">
        <v>1.1684</v>
      </c>
      <c r="AN301" s="0" t="n">
        <v>-1.1515</v>
      </c>
      <c r="AO301" s="0" t="n">
        <v>2.3538</v>
      </c>
      <c r="AP301" s="0" t="n">
        <v>-2.286</v>
      </c>
      <c r="AQ301" s="0" t="n">
        <v>4.7752</v>
      </c>
      <c r="AR301" s="0" t="n">
        <v>-4.5044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6"/>
    <col collapsed="false" customWidth="true" hidden="false" outlineLevel="0" max="4" min="4" style="0" width="16"/>
  </cols>
  <sheetData>
    <row r="2" customFormat="false" ht="17.35" hidden="false" customHeight="false" outlineLevel="0" collapsed="false">
      <c r="B2" s="1" t="s">
        <v>1323</v>
      </c>
    </row>
    <row r="3" customFormat="false" ht="15" hidden="false" customHeight="false" outlineLevel="0" collapsed="false">
      <c r="B3" s="5" t="s">
        <v>1324</v>
      </c>
    </row>
    <row r="4" customFormat="false" ht="15" hidden="false" customHeight="false" outlineLevel="0" collapsed="false">
      <c r="B4" s="6" t="s">
        <v>1325</v>
      </c>
    </row>
    <row r="5" customFormat="false" ht="15" hidden="false" customHeight="false" outlineLevel="0" collapsed="false">
      <c r="B5" s="6" t="s">
        <v>1326</v>
      </c>
      <c r="D5" s="7" t="n">
        <f aca="false">SUM(Bond_Data!AF2:AF301)</f>
        <v>32059345.97</v>
      </c>
    </row>
    <row r="6" customFormat="false" ht="15" hidden="false" customHeight="false" outlineLevel="0" collapsed="false">
      <c r="B6" s="6" t="s">
        <v>1327</v>
      </c>
      <c r="D6" s="8" t="n">
        <f aca="false">COUNTA(Bond_Data!A2:A301)</f>
        <v>300</v>
      </c>
    </row>
    <row r="7" customFormat="false" ht="15" hidden="false" customHeight="false" outlineLevel="0" collapsed="false">
      <c r="B7" s="6" t="s">
        <v>1328</v>
      </c>
      <c r="D7" s="9" t="n">
        <f aca="false">SUMPRODUCT(Bond_Data!AF2:AF301,Bond_Data!U2:U301)/SUM(Bond_Data!AF2:AF301)</f>
        <v>4.20312765933225</v>
      </c>
    </row>
    <row r="8" customFormat="false" ht="15" hidden="false" customHeight="false" outlineLevel="0" collapsed="false">
      <c r="B8" s="6" t="s">
        <v>1329</v>
      </c>
      <c r="D8" s="9" t="n">
        <f aca="false">SUMPRODUCT(Bond_Data!AF2:AF301,Bond_Data!T2:T301)/SUM(Bond_Data!AF2:AF301)</f>
        <v>4.33482873863403</v>
      </c>
    </row>
    <row r="9" customFormat="false" ht="15" hidden="false" customHeight="false" outlineLevel="0" collapsed="false">
      <c r="B9" s="6" t="s">
        <v>1330</v>
      </c>
      <c r="D9" s="9" t="n">
        <f aca="false">SUMPRODUCT(Bond_Data!AF2:AF301,Bond_Data!V2:V301)/SUM(Bond_Data!AF2:AF301)</f>
        <v>44.0611991715295</v>
      </c>
    </row>
    <row r="10" customFormat="false" ht="15" hidden="false" customHeight="false" outlineLevel="0" collapsed="false">
      <c r="B10" s="6" t="s">
        <v>1331</v>
      </c>
      <c r="D10" s="7" t="n">
        <f aca="false">SUMPRODUCT(Bond_Data!W2:W301,Bond_Data!AD2:AD301)/100</f>
        <v>8948.2485</v>
      </c>
    </row>
    <row r="11" customFormat="false" ht="15" hidden="false" customHeight="false" outlineLevel="0" collapsed="false">
      <c r="B11" s="6" t="s">
        <v>1332</v>
      </c>
      <c r="D11" s="10" t="n">
        <f aca="false">SUMPRODUCT(Bond_Data!AF2:AF301,Bond_Data!P2:P301)/SUM(Bond_Data!AF2:AF301)*100</f>
        <v>7.28142373852987</v>
      </c>
    </row>
    <row r="14" customFormat="false" ht="15" hidden="false" customHeight="false" outlineLevel="0" collapsed="false">
      <c r="B14" s="6" t="s">
        <v>1333</v>
      </c>
    </row>
    <row r="15" customFormat="false" ht="15" hidden="false" customHeight="false" outlineLevel="0" collapsed="false">
      <c r="B15" s="11" t="s">
        <v>1334</v>
      </c>
      <c r="C15" s="11" t="s">
        <v>1335</v>
      </c>
      <c r="D15" s="11" t="s">
        <v>1336</v>
      </c>
    </row>
    <row r="16" customFormat="false" ht="15" hidden="false" customHeight="false" outlineLevel="0" collapsed="false">
      <c r="B16" s="12" t="n">
        <v>-200</v>
      </c>
      <c r="C16" s="13" t="n">
        <f aca="false">(-$D$7*(B16/10000)+0.5*$D$9*(B16/10000)^2)*100</f>
        <v>9.2874793020951</v>
      </c>
      <c r="D16" s="14" t="n">
        <f aca="false">C16/100*$D$5</f>
        <v>2977505.12135081</v>
      </c>
    </row>
    <row r="17" customFormat="false" ht="15" hidden="false" customHeight="false" outlineLevel="0" collapsed="false">
      <c r="B17" s="12" t="n">
        <v>-100</v>
      </c>
      <c r="C17" s="13" t="n">
        <f aca="false">(-$D$7*(B17/10000)+0.5*$D$9*(B17/10000)^2)*100</f>
        <v>4.4234336551899</v>
      </c>
      <c r="D17" s="14" t="n">
        <f aca="false">C17/100*$D$5</f>
        <v>1418123.89927075</v>
      </c>
    </row>
    <row r="18" customFormat="false" ht="15" hidden="false" customHeight="false" outlineLevel="0" collapsed="false">
      <c r="B18" s="12" t="n">
        <v>-50</v>
      </c>
      <c r="C18" s="13" t="n">
        <f aca="false">(-$D$7*(B18/10000)+0.5*$D$9*(B18/10000)^2)*100</f>
        <v>2.15664032863054</v>
      </c>
      <c r="D18" s="14" t="n">
        <f aca="false">C18/100*$D$5</f>
        <v>691404.784284209</v>
      </c>
    </row>
    <row r="19" customFormat="false" ht="15" hidden="false" customHeight="false" outlineLevel="0" collapsed="false">
      <c r="B19" s="12" t="n">
        <v>-25</v>
      </c>
      <c r="C19" s="13" t="n">
        <f aca="false">(-$D$7*(B19/10000)+0.5*$D$9*(B19/10000)^2)*100</f>
        <v>1.06455103957417</v>
      </c>
      <c r="D19" s="14" t="n">
        <f aca="false">C19/100*$D$5</f>
        <v>341288.100804314</v>
      </c>
    </row>
    <row r="20" customFormat="false" ht="15" hidden="false" customHeight="false" outlineLevel="0" collapsed="false">
      <c r="B20" s="12" t="n">
        <v>25</v>
      </c>
      <c r="C20" s="13" t="n">
        <f aca="false">(-$D$7*(B20/10000)+0.5*$D$9*(B20/10000)^2)*100</f>
        <v>-1.03701279009196</v>
      </c>
      <c r="D20" s="14" t="n">
        <f aca="false">C20/100*$D$5</f>
        <v>-332459.518128731</v>
      </c>
    </row>
    <row r="21" customFormat="false" ht="15" hidden="false" customHeight="false" outlineLevel="0" collapsed="false">
      <c r="B21" s="12" t="n">
        <v>50</v>
      </c>
      <c r="C21" s="13" t="n">
        <f aca="false">(-$D$7*(B21/10000)+0.5*$D$9*(B21/10000)^2)*100</f>
        <v>-2.04648733070171</v>
      </c>
      <c r="D21" s="14" t="n">
        <f aca="false">C21/100*$D$5</f>
        <v>-656090.453581881</v>
      </c>
    </row>
    <row r="22" customFormat="false" ht="15" hidden="false" customHeight="false" outlineLevel="0" collapsed="false">
      <c r="B22" s="12" t="n">
        <v>100</v>
      </c>
      <c r="C22" s="13" t="n">
        <f aca="false">(-$D$7*(B22/10000)+0.5*$D$9*(B22/10000)^2)*100</f>
        <v>-3.98282166347461</v>
      </c>
      <c r="D22" s="14" t="n">
        <f aca="false">C22/100*$D$5</f>
        <v>-1276866.57646143</v>
      </c>
    </row>
    <row r="23" customFormat="false" ht="15" hidden="false" customHeight="false" outlineLevel="0" collapsed="false">
      <c r="B23" s="12" t="n">
        <v>200</v>
      </c>
      <c r="C23" s="13" t="n">
        <f aca="false">(-$D$7*(B23/10000)+0.5*$D$9*(B23/10000)^2)*100</f>
        <v>-7.52503133523392</v>
      </c>
      <c r="D23" s="14" t="n">
        <f aca="false">C23/100*$D$5</f>
        <v>-2412475.83011355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2" style="0" width="20"/>
  </cols>
  <sheetData>
    <row r="2" customFormat="false" ht="17.35" hidden="false" customHeight="false" outlineLevel="0" collapsed="false">
      <c r="B2" s="1" t="s">
        <v>1337</v>
      </c>
    </row>
    <row r="4" customFormat="false" ht="15" hidden="false" customHeight="false" outlineLevel="0" collapsed="false">
      <c r="B4" s="11" t="s">
        <v>1338</v>
      </c>
      <c r="C4" s="11" t="s">
        <v>1339</v>
      </c>
      <c r="D4" s="11" t="s">
        <v>1340</v>
      </c>
      <c r="E4" s="11" t="s">
        <v>1341</v>
      </c>
      <c r="F4" s="11" t="s">
        <v>1342</v>
      </c>
    </row>
    <row r="5" customFormat="false" ht="15" hidden="false" customHeight="false" outlineLevel="0" collapsed="false">
      <c r="B5" s="12" t="s">
        <v>173</v>
      </c>
      <c r="C5" s="14" t="n">
        <f aca="false">SUMIFS(Bond_Data!AF2:AF301,Bond_Data!AC2:AC301,B5)</f>
        <v>3014988.43</v>
      </c>
      <c r="D5" s="15" t="n">
        <f aca="false">C5/SUM(Bond_Data!AF2:AF301)*100</f>
        <v>9.40439780905487</v>
      </c>
      <c r="E5" s="13" t="n">
        <f aca="false">SUMPRODUCT((Bond_Data!AC2:AC301=B5)*Bond_Data!AF2:AF301,Bond_Data!U2:U301)/SUMIFS(Bond_Data!AF2:AF301,Bond_Data!AC2:AC301,B5)</f>
        <v>0.481238773962061</v>
      </c>
      <c r="F5" s="13" t="n">
        <f aca="false">SUMPRODUCT((Bond_Data!AC2:AC301=B5)*Bond_Data!AF2:AF301,Bond_Data!V2:V301)/SUMIFS(Bond_Data!AF2:AF301,Bond_Data!AC2:AC301,B5)</f>
        <v>0.463220698548087</v>
      </c>
    </row>
    <row r="6" customFormat="false" ht="15" hidden="false" customHeight="false" outlineLevel="0" collapsed="false">
      <c r="B6" s="12" t="s">
        <v>91</v>
      </c>
      <c r="C6" s="14" t="n">
        <f aca="false">SUMIFS(Bond_Data!AF2:AF301,Bond_Data!AC2:AC301,B6)</f>
        <v>6162504.16</v>
      </c>
      <c r="D6" s="15" t="n">
        <f aca="false">C6/SUM(Bond_Data!AF2:AF301)*100</f>
        <v>19.2221767897781</v>
      </c>
      <c r="E6" s="13" t="n">
        <f aca="false">SUMPRODUCT((Bond_Data!AC2:AC301=B6)*Bond_Data!AF2:AF301,Bond_Data!U2:U301)/SUMIFS(Bond_Data!AF2:AF301,Bond_Data!AC2:AC301,B6)</f>
        <v>1.09980244843535</v>
      </c>
      <c r="F6" s="13" t="n">
        <f aca="false">SUMPRODUCT((Bond_Data!AC2:AC301=B6)*Bond_Data!AF2:AF301,Bond_Data!V2:V301)/SUMIFS(Bond_Data!AF2:AF301,Bond_Data!AC2:AC301,B6)</f>
        <v>1.8012436071115</v>
      </c>
    </row>
    <row r="7" customFormat="false" ht="15" hidden="false" customHeight="false" outlineLevel="0" collapsed="false">
      <c r="B7" s="12" t="s">
        <v>66</v>
      </c>
      <c r="C7" s="14" t="n">
        <f aca="false">SUMIFS(Bond_Data!AF2:AF301,Bond_Data!AC2:AC301,B7)</f>
        <v>6913492.41</v>
      </c>
      <c r="D7" s="15" t="n">
        <f aca="false">C7/SUM(Bond_Data!AF2:AF301)*100</f>
        <v>21.5646707717288</v>
      </c>
      <c r="E7" s="13" t="n">
        <f aca="false">SUMPRODUCT((Bond_Data!AC2:AC301=B7)*Bond_Data!AF2:AF301,Bond_Data!U2:U301)/SUMIFS(Bond_Data!AF2:AF301,Bond_Data!AC2:AC301,B7)</f>
        <v>2.01036714109042</v>
      </c>
      <c r="F7" s="13" t="n">
        <f aca="false">SUMPRODUCT((Bond_Data!AC2:AC301=B7)*Bond_Data!AF2:AF301,Bond_Data!V2:V301)/SUMIFS(Bond_Data!AF2:AF301,Bond_Data!AC2:AC301,B7)</f>
        <v>5.19890066252347</v>
      </c>
    </row>
    <row r="8" customFormat="false" ht="15" hidden="false" customHeight="false" outlineLevel="0" collapsed="false">
      <c r="B8" s="12" t="s">
        <v>230</v>
      </c>
      <c r="C8" s="14" t="n">
        <f aca="false">SUMIFS(Bond_Data!AF2:AF301,Bond_Data!AC2:AC301,B8)</f>
        <v>4701036.7</v>
      </c>
      <c r="D8" s="15" t="n">
        <f aca="false">C8/SUM(Bond_Data!AF2:AF301)*100</f>
        <v>14.6635452401277</v>
      </c>
      <c r="E8" s="13" t="n">
        <f aca="false">SUMPRODUCT((Bond_Data!AC2:AC301=B8)*Bond_Data!AF2:AF301,Bond_Data!U2:U301)/SUMIFS(Bond_Data!AF2:AF301,Bond_Data!AC2:AC301,B8)</f>
        <v>2.95230740033597</v>
      </c>
      <c r="F8" s="13" t="n">
        <f aca="false">SUMPRODUCT((Bond_Data!AC2:AC301=B8)*Bond_Data!AF2:AF301,Bond_Data!V2:V301)/SUMIFS(Bond_Data!AF2:AF301,Bond_Data!AC2:AC301,B8)</f>
        <v>10.8696055612016</v>
      </c>
    </row>
    <row r="9" customFormat="false" ht="15" hidden="false" customHeight="false" outlineLevel="0" collapsed="false">
      <c r="B9" s="12" t="s">
        <v>77</v>
      </c>
      <c r="C9" s="14" t="n">
        <f aca="false">SUMIFS(Bond_Data!AF2:AF301,Bond_Data!AC2:AC301,B9)</f>
        <v>2713024.65</v>
      </c>
      <c r="D9" s="15" t="n">
        <f aca="false">C9/SUM(Bond_Data!AF2:AF301)*100</f>
        <v>8.46250778958109</v>
      </c>
      <c r="E9" s="13" t="n">
        <f aca="false">SUMPRODUCT((Bond_Data!AC2:AC301=B9)*Bond_Data!AF2:AF301,Bond_Data!U2:U301)/SUMIFS(Bond_Data!AF2:AF301,Bond_Data!AC2:AC301,B9)</f>
        <v>4.58428679665074</v>
      </c>
      <c r="F9" s="13" t="n">
        <f aca="false">SUMPRODUCT((Bond_Data!AC2:AC301=B9)*Bond_Data!AF2:AF301,Bond_Data!V2:V301)/SUMIFS(Bond_Data!AF2:AF301,Bond_Data!AC2:AC301,B9)</f>
        <v>25.3833805921601</v>
      </c>
    </row>
    <row r="10" customFormat="false" ht="15" hidden="false" customHeight="false" outlineLevel="0" collapsed="false">
      <c r="B10" s="12" t="s">
        <v>210</v>
      </c>
      <c r="C10" s="14" t="n">
        <f aca="false">SUMIFS(Bond_Data!AF2:AF301,Bond_Data!AC2:AC301,B10)</f>
        <v>2256810.99</v>
      </c>
      <c r="D10" s="15" t="n">
        <f aca="false">C10/SUM(Bond_Data!AF2:AF301)*100</f>
        <v>7.03947919621269</v>
      </c>
      <c r="E10" s="13" t="n">
        <f aca="false">SUMPRODUCT((Bond_Data!AC2:AC301=B10)*Bond_Data!AF2:AF301,Bond_Data!U2:U301)/SUMIFS(Bond_Data!AF2:AF301,Bond_Data!AC2:AC301,B10)</f>
        <v>6.5334457318949</v>
      </c>
      <c r="F10" s="13" t="n">
        <f aca="false">SUMPRODUCT((Bond_Data!AC2:AC301=B10)*Bond_Data!AF2:AF301,Bond_Data!V2:V301)/SUMIFS(Bond_Data!AF2:AF301,Bond_Data!AC2:AC301,B10)</f>
        <v>53.0860488279202</v>
      </c>
    </row>
    <row r="11" customFormat="false" ht="15" hidden="false" customHeight="false" outlineLevel="0" collapsed="false">
      <c r="B11" s="12" t="s">
        <v>152</v>
      </c>
      <c r="C11" s="14" t="n">
        <f aca="false">SUMIFS(Bond_Data!AF2:AF301,Bond_Data!AC2:AC301,B11)</f>
        <v>1944555.03</v>
      </c>
      <c r="D11" s="15" t="n">
        <f aca="false">C11/SUM(Bond_Data!AF2:AF301)*100</f>
        <v>6.06548565220153</v>
      </c>
      <c r="E11" s="13" t="n">
        <f aca="false">SUMPRODUCT((Bond_Data!AC2:AC301=B11)*Bond_Data!AF2:AF301,Bond_Data!U2:U301)/SUMIFS(Bond_Data!AF2:AF301,Bond_Data!AC2:AC301,B11)</f>
        <v>9.07383977533513</v>
      </c>
      <c r="F11" s="13" t="n">
        <f aca="false">SUMPRODUCT((Bond_Data!AC2:AC301=B11)*Bond_Data!AF2:AF301,Bond_Data!V2:V301)/SUMIFS(Bond_Data!AF2:AF301,Bond_Data!AC2:AC301,B11)</f>
        <v>101.889210978984</v>
      </c>
    </row>
    <row r="12" customFormat="false" ht="15" hidden="false" customHeight="false" outlineLevel="0" collapsed="false">
      <c r="B12" s="12" t="s">
        <v>86</v>
      </c>
      <c r="C12" s="14" t="n">
        <f aca="false">SUMIFS(Bond_Data!AF2:AF301,Bond_Data!AC2:AC301,B12)</f>
        <v>2541586.96</v>
      </c>
      <c r="D12" s="15" t="n">
        <f aca="false">C12/SUM(Bond_Data!AF2:AF301)*100</f>
        <v>7.92775673707857</v>
      </c>
      <c r="E12" s="13" t="n">
        <f aca="false">SUMPRODUCT((Bond_Data!AC2:AC301=B12)*Bond_Data!AF2:AF301,Bond_Data!U2:U301)/SUMIFS(Bond_Data!AF2:AF301,Bond_Data!AC2:AC301,B12)</f>
        <v>12.3675260942337</v>
      </c>
      <c r="F12" s="13" t="n">
        <f aca="false">SUMPRODUCT((Bond_Data!AC2:AC301=B12)*Bond_Data!AF2:AF301,Bond_Data!V2:V301)/SUMIFS(Bond_Data!AF2:AF301,Bond_Data!AC2:AC301,B12)</f>
        <v>194.194056381996</v>
      </c>
    </row>
    <row r="13" customFormat="false" ht="15" hidden="false" customHeight="false" outlineLevel="0" collapsed="false">
      <c r="B13" s="12" t="s">
        <v>72</v>
      </c>
      <c r="C13" s="14" t="n">
        <f aca="false">SUMIFS(Bond_Data!AF2:AF301,Bond_Data!AC2:AC301,B13)</f>
        <v>1811346.64</v>
      </c>
      <c r="D13" s="15" t="n">
        <f aca="false">C13/SUM(Bond_Data!AF2:AF301)*100</f>
        <v>5.6499800142367</v>
      </c>
      <c r="E13" s="13" t="n">
        <f aca="false">SUMPRODUCT((Bond_Data!AC2:AC301=B13)*Bond_Data!AF2:AF301,Bond_Data!U2:U301)/SUMIFS(Bond_Data!AF2:AF301,Bond_Data!AC2:AC301,B13)</f>
        <v>12.4127178882138</v>
      </c>
      <c r="F13" s="13" t="n">
        <f aca="false">SUMPRODUCT((Bond_Data!AC2:AC301=B13)*Bond_Data!AF2:AF301,Bond_Data!V2:V301)/SUMIFS(Bond_Data!AF2:AF301,Bond_Data!AC2:AC301,B13)</f>
        <v>238.868857325268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5" hidden="false" customHeight="false" outlineLevel="0" collapsed="false">
      <c r="A1" s="11" t="s">
        <v>1343</v>
      </c>
      <c r="B1" s="11" t="s">
        <v>1344</v>
      </c>
      <c r="C1" s="11" t="s">
        <v>1345</v>
      </c>
      <c r="D1" s="11" t="s">
        <v>1346</v>
      </c>
      <c r="E1" s="11" t="s">
        <v>1347</v>
      </c>
      <c r="F1" s="11" t="s">
        <v>1348</v>
      </c>
      <c r="G1" s="11" t="s">
        <v>1349</v>
      </c>
      <c r="H1" s="11" t="s">
        <v>1350</v>
      </c>
      <c r="I1" s="11" t="s">
        <v>1351</v>
      </c>
    </row>
    <row r="2" customFormat="false" ht="15" hidden="false" customHeight="false" outlineLevel="0" collapsed="false">
      <c r="A2" s="0" t="n">
        <v>1</v>
      </c>
      <c r="B2" s="0" t="n">
        <v>-50.28</v>
      </c>
      <c r="C2" s="0" t="n">
        <v>-43.61</v>
      </c>
      <c r="D2" s="0" t="n">
        <v>-6.73</v>
      </c>
      <c r="E2" s="0" t="n">
        <v>677553.73</v>
      </c>
      <c r="F2" s="0" t="n">
        <v>17857.27</v>
      </c>
      <c r="G2" s="0" t="n">
        <v>695411.01</v>
      </c>
      <c r="H2" s="0" t="n">
        <v>2.1691</v>
      </c>
      <c r="I2" s="0" t="n">
        <v>695411.01</v>
      </c>
    </row>
    <row r="3" customFormat="false" ht="15" hidden="false" customHeight="false" outlineLevel="0" collapsed="false">
      <c r="A3" s="0" t="n">
        <v>2</v>
      </c>
      <c r="B3" s="0" t="n">
        <v>-103.23</v>
      </c>
      <c r="C3" s="0" t="n">
        <v>-5.91</v>
      </c>
      <c r="D3" s="0" t="n">
        <v>3.08</v>
      </c>
      <c r="E3" s="0" t="n">
        <v>1391064.43</v>
      </c>
      <c r="F3" s="0" t="n">
        <v>75270.04</v>
      </c>
      <c r="G3" s="0" t="n">
        <v>1466334.46</v>
      </c>
      <c r="H3" s="0" t="n">
        <v>4.5738</v>
      </c>
      <c r="I3" s="0" t="n">
        <v>1466334.46</v>
      </c>
    </row>
    <row r="4" customFormat="false" ht="15" hidden="false" customHeight="false" outlineLevel="0" collapsed="false">
      <c r="A4" s="0" t="n">
        <v>3</v>
      </c>
      <c r="B4" s="0" t="n">
        <v>-48.2</v>
      </c>
      <c r="C4" s="0" t="n">
        <v>35.5</v>
      </c>
      <c r="D4" s="0" t="n">
        <v>-36.27</v>
      </c>
      <c r="E4" s="0" t="n">
        <v>649560.04</v>
      </c>
      <c r="F4" s="0" t="n">
        <v>16412.18</v>
      </c>
      <c r="G4" s="0" t="n">
        <v>665972.21</v>
      </c>
      <c r="H4" s="0" t="n">
        <v>2.0773</v>
      </c>
      <c r="I4" s="0" t="n">
        <v>665972.21</v>
      </c>
    </row>
    <row r="5" customFormat="false" ht="15" hidden="false" customHeight="false" outlineLevel="0" collapsed="false">
      <c r="A5" s="0" t="n">
        <v>4</v>
      </c>
      <c r="B5" s="0" t="n">
        <v>43.03</v>
      </c>
      <c r="C5" s="0" t="n">
        <v>22.37</v>
      </c>
      <c r="D5" s="0" t="n">
        <v>61.3</v>
      </c>
      <c r="E5" s="0" t="n">
        <v>-579832.59</v>
      </c>
      <c r="F5" s="0" t="n">
        <v>13077.75</v>
      </c>
      <c r="G5" s="0" t="n">
        <v>-566754.84</v>
      </c>
      <c r="H5" s="0" t="n">
        <v>-1.7678</v>
      </c>
      <c r="I5" s="0" t="n">
        <v>566754.84</v>
      </c>
    </row>
    <row r="6" customFormat="false" ht="15" hidden="false" customHeight="false" outlineLevel="0" collapsed="false">
      <c r="A6" s="0" t="n">
        <v>5</v>
      </c>
      <c r="B6" s="0" t="n">
        <v>-5.52</v>
      </c>
      <c r="C6" s="0" t="n">
        <v>-51.75</v>
      </c>
      <c r="D6" s="0" t="n">
        <v>-16.79</v>
      </c>
      <c r="E6" s="0" t="n">
        <v>74315.99</v>
      </c>
      <c r="F6" s="0" t="n">
        <v>214.83</v>
      </c>
      <c r="G6" s="0" t="n">
        <v>74530.82</v>
      </c>
      <c r="H6" s="0" t="n">
        <v>0.2325</v>
      </c>
      <c r="I6" s="0" t="n">
        <v>74530.82</v>
      </c>
    </row>
    <row r="7" customFormat="false" ht="15" hidden="false" customHeight="false" outlineLevel="0" collapsed="false">
      <c r="A7" s="0" t="n">
        <v>6</v>
      </c>
      <c r="B7" s="0" t="n">
        <v>21.14</v>
      </c>
      <c r="C7" s="0" t="n">
        <v>-14.71</v>
      </c>
      <c r="D7" s="0" t="n">
        <v>-63.45</v>
      </c>
      <c r="E7" s="0" t="n">
        <v>-284869.2</v>
      </c>
      <c r="F7" s="0" t="n">
        <v>3156.59</v>
      </c>
      <c r="G7" s="0" t="n">
        <v>-281712.6</v>
      </c>
      <c r="H7" s="0" t="n">
        <v>-0.8787</v>
      </c>
      <c r="I7" s="0" t="n">
        <v>281712.6</v>
      </c>
    </row>
    <row r="8" customFormat="false" ht="15" hidden="false" customHeight="false" outlineLevel="0" collapsed="false">
      <c r="A8" s="0" t="n">
        <v>7</v>
      </c>
      <c r="B8" s="0" t="n">
        <v>-13.86</v>
      </c>
      <c r="C8" s="0" t="n">
        <v>-51.24</v>
      </c>
      <c r="D8" s="0" t="n">
        <v>20.73</v>
      </c>
      <c r="E8" s="0" t="n">
        <v>186765.86</v>
      </c>
      <c r="F8" s="0" t="n">
        <v>1356.82</v>
      </c>
      <c r="G8" s="0" t="n">
        <v>188122.68</v>
      </c>
      <c r="H8" s="0" t="n">
        <v>0.5868</v>
      </c>
      <c r="I8" s="0" t="n">
        <v>188122.68</v>
      </c>
    </row>
    <row r="9" customFormat="false" ht="15" hidden="false" customHeight="false" outlineLevel="0" collapsed="false">
      <c r="A9" s="0" t="n">
        <v>8</v>
      </c>
      <c r="B9" s="0" t="n">
        <v>-115.97</v>
      </c>
      <c r="C9" s="0" t="n">
        <v>26.34</v>
      </c>
      <c r="D9" s="0" t="n">
        <v>20.02</v>
      </c>
      <c r="E9" s="0" t="n">
        <v>1562717.12</v>
      </c>
      <c r="F9" s="0" t="n">
        <v>94992.29</v>
      </c>
      <c r="G9" s="0" t="n">
        <v>1657709.42</v>
      </c>
      <c r="H9" s="0" t="n">
        <v>5.1708</v>
      </c>
      <c r="I9" s="0" t="n">
        <v>1657709.42</v>
      </c>
    </row>
    <row r="10" customFormat="false" ht="15" hidden="false" customHeight="false" outlineLevel="0" collapsed="false">
      <c r="A10" s="0" t="n">
        <v>9</v>
      </c>
      <c r="B10" s="0" t="n">
        <v>121.75</v>
      </c>
      <c r="C10" s="0" t="n">
        <v>-4.45</v>
      </c>
      <c r="D10" s="0" t="n">
        <v>-35.68</v>
      </c>
      <c r="E10" s="0" t="n">
        <v>-1640530.61</v>
      </c>
      <c r="F10" s="0" t="n">
        <v>104687.86</v>
      </c>
      <c r="G10" s="0" t="n">
        <v>-1535842.75</v>
      </c>
      <c r="H10" s="0" t="n">
        <v>-4.7906</v>
      </c>
      <c r="I10" s="0" t="n">
        <v>1535842.75</v>
      </c>
    </row>
    <row r="11" customFormat="false" ht="15" hidden="false" customHeight="false" outlineLevel="0" collapsed="false">
      <c r="A11" s="0" t="n">
        <v>10</v>
      </c>
      <c r="B11" s="0" t="n">
        <v>199.91</v>
      </c>
      <c r="C11" s="0" t="n">
        <v>-40.87</v>
      </c>
      <c r="D11" s="0" t="n">
        <v>-15.71</v>
      </c>
      <c r="E11" s="0" t="n">
        <v>-2693721.28</v>
      </c>
      <c r="F11" s="0" t="n">
        <v>282249.35</v>
      </c>
      <c r="G11" s="0" t="n">
        <v>-2411471.94</v>
      </c>
      <c r="H11" s="0" t="n">
        <v>-7.5219</v>
      </c>
      <c r="I11" s="0" t="n">
        <v>2411471.94</v>
      </c>
    </row>
    <row r="12" customFormat="false" ht="15" hidden="false" customHeight="false" outlineLevel="0" collapsed="false">
      <c r="A12" s="0" t="n">
        <v>11</v>
      </c>
      <c r="B12" s="0" t="n">
        <v>142.59</v>
      </c>
      <c r="C12" s="0" t="n">
        <v>2.97</v>
      </c>
      <c r="D12" s="0" t="n">
        <v>-2.72</v>
      </c>
      <c r="E12" s="0" t="n">
        <v>-1921380.17</v>
      </c>
      <c r="F12" s="0" t="n">
        <v>143599.93</v>
      </c>
      <c r="G12" s="0" t="n">
        <v>-1777780.24</v>
      </c>
      <c r="H12" s="0" t="n">
        <v>-5.5453</v>
      </c>
      <c r="I12" s="0" t="n">
        <v>1777780.24</v>
      </c>
    </row>
    <row r="13" customFormat="false" ht="15" hidden="false" customHeight="false" outlineLevel="0" collapsed="false">
      <c r="A13" s="0" t="n">
        <v>12</v>
      </c>
      <c r="B13" s="0" t="n">
        <v>61.34</v>
      </c>
      <c r="C13" s="0" t="n">
        <v>-62.95</v>
      </c>
      <c r="D13" s="0" t="n">
        <v>9.16</v>
      </c>
      <c r="E13" s="0" t="n">
        <v>-826579.46</v>
      </c>
      <c r="F13" s="0" t="n">
        <v>26576.44</v>
      </c>
      <c r="G13" s="0" t="n">
        <v>-800003.02</v>
      </c>
      <c r="H13" s="0" t="n">
        <v>-2.4954</v>
      </c>
      <c r="I13" s="0" t="n">
        <v>800003.02</v>
      </c>
    </row>
    <row r="14" customFormat="false" ht="15" hidden="false" customHeight="false" outlineLevel="0" collapsed="false">
      <c r="A14" s="0" t="n">
        <v>13</v>
      </c>
      <c r="B14" s="0" t="n">
        <v>57.35</v>
      </c>
      <c r="C14" s="0" t="n">
        <v>-16.99</v>
      </c>
      <c r="D14" s="0" t="n">
        <v>12.26</v>
      </c>
      <c r="E14" s="0" t="n">
        <v>-772852.45</v>
      </c>
      <c r="F14" s="0" t="n">
        <v>23233.83</v>
      </c>
      <c r="G14" s="0" t="n">
        <v>-749618.62</v>
      </c>
      <c r="H14" s="0" t="n">
        <v>-2.3382</v>
      </c>
      <c r="I14" s="0" t="n">
        <v>749618.62</v>
      </c>
    </row>
    <row r="15" customFormat="false" ht="15" hidden="false" customHeight="false" outlineLevel="0" collapsed="false">
      <c r="A15" s="0" t="n">
        <v>14</v>
      </c>
      <c r="B15" s="0" t="n">
        <v>-71.87</v>
      </c>
      <c r="C15" s="0" t="n">
        <v>-92.86</v>
      </c>
      <c r="D15" s="0" t="n">
        <v>3.3</v>
      </c>
      <c r="E15" s="0" t="n">
        <v>968408.61</v>
      </c>
      <c r="F15" s="0" t="n">
        <v>36479.17</v>
      </c>
      <c r="G15" s="0" t="n">
        <v>1004887.77</v>
      </c>
      <c r="H15" s="0" t="n">
        <v>3.1345</v>
      </c>
      <c r="I15" s="0" t="n">
        <v>1004887.77</v>
      </c>
    </row>
    <row r="16" customFormat="false" ht="15" hidden="false" customHeight="false" outlineLevel="0" collapsed="false">
      <c r="A16" s="0" t="n">
        <v>15</v>
      </c>
      <c r="B16" s="0" t="n">
        <v>-42.57</v>
      </c>
      <c r="C16" s="0" t="n">
        <v>62.82</v>
      </c>
      <c r="D16" s="0" t="n">
        <v>-49.2</v>
      </c>
      <c r="E16" s="0" t="n">
        <v>573654.22</v>
      </c>
      <c r="F16" s="0" t="n">
        <v>12800.53</v>
      </c>
      <c r="G16" s="0" t="n">
        <v>586454.75</v>
      </c>
      <c r="H16" s="0" t="n">
        <v>1.8293</v>
      </c>
      <c r="I16" s="0" t="n">
        <v>586454.75</v>
      </c>
    </row>
    <row r="17" customFormat="false" ht="15" hidden="false" customHeight="false" outlineLevel="0" collapsed="false">
      <c r="A17" s="0" t="n">
        <v>16</v>
      </c>
      <c r="B17" s="0" t="n">
        <v>6.08</v>
      </c>
      <c r="C17" s="0" t="n">
        <v>14.11</v>
      </c>
      <c r="D17" s="0" t="n">
        <v>52.42</v>
      </c>
      <c r="E17" s="0" t="n">
        <v>-81949.38</v>
      </c>
      <c r="F17" s="0" t="n">
        <v>261.23</v>
      </c>
      <c r="G17" s="0" t="n">
        <v>-81688.15</v>
      </c>
      <c r="H17" s="0" t="n">
        <v>-0.2548</v>
      </c>
      <c r="I17" s="0" t="n">
        <v>81688.15</v>
      </c>
    </row>
    <row r="18" customFormat="false" ht="15" hidden="false" customHeight="false" outlineLevel="0" collapsed="false">
      <c r="A18" s="0" t="n">
        <v>17</v>
      </c>
      <c r="B18" s="0" t="n">
        <v>47.92</v>
      </c>
      <c r="C18" s="0" t="n">
        <v>34.79</v>
      </c>
      <c r="D18" s="0" t="n">
        <v>-27.09</v>
      </c>
      <c r="E18" s="0" t="n">
        <v>-645684.27</v>
      </c>
      <c r="F18" s="0" t="n">
        <v>16216.91</v>
      </c>
      <c r="G18" s="0" t="n">
        <v>-629467.36</v>
      </c>
      <c r="H18" s="0" t="n">
        <v>-1.9634</v>
      </c>
      <c r="I18" s="0" t="n">
        <v>629467.36</v>
      </c>
    </row>
    <row r="19" customFormat="false" ht="15" hidden="false" customHeight="false" outlineLevel="0" collapsed="false">
      <c r="A19" s="0" t="n">
        <v>18</v>
      </c>
      <c r="B19" s="0" t="n">
        <v>-109.94</v>
      </c>
      <c r="C19" s="0" t="n">
        <v>52.62</v>
      </c>
      <c r="D19" s="0" t="n">
        <v>31.25</v>
      </c>
      <c r="E19" s="0" t="n">
        <v>1481469.03</v>
      </c>
      <c r="F19" s="0" t="n">
        <v>85371.47</v>
      </c>
      <c r="G19" s="0" t="n">
        <v>1566840.5</v>
      </c>
      <c r="H19" s="0" t="n">
        <v>4.8873</v>
      </c>
      <c r="I19" s="0" t="n">
        <v>1566840.5</v>
      </c>
    </row>
    <row r="20" customFormat="false" ht="15" hidden="false" customHeight="false" outlineLevel="0" collapsed="false">
      <c r="A20" s="0" t="n">
        <v>19</v>
      </c>
      <c r="B20" s="0" t="n">
        <v>-14.75</v>
      </c>
      <c r="C20" s="0" t="n">
        <v>30.56</v>
      </c>
      <c r="D20" s="0" t="n">
        <v>35.97</v>
      </c>
      <c r="E20" s="0" t="n">
        <v>198773.49</v>
      </c>
      <c r="F20" s="0" t="n">
        <v>1536.9</v>
      </c>
      <c r="G20" s="0" t="n">
        <v>200310.38</v>
      </c>
      <c r="H20" s="0" t="n">
        <v>0.6248</v>
      </c>
      <c r="I20" s="0" t="n">
        <v>200310.38</v>
      </c>
    </row>
    <row r="21" customFormat="false" ht="15" hidden="false" customHeight="false" outlineLevel="0" collapsed="false">
      <c r="A21" s="0" t="n">
        <v>20</v>
      </c>
      <c r="B21" s="0" t="n">
        <v>-79.53</v>
      </c>
      <c r="C21" s="0" t="n">
        <v>83.7</v>
      </c>
      <c r="D21" s="0" t="n">
        <v>9.07</v>
      </c>
      <c r="E21" s="0" t="n">
        <v>1071599.14</v>
      </c>
      <c r="F21" s="0" t="n">
        <v>44667.57</v>
      </c>
      <c r="G21" s="0" t="n">
        <v>1116266.71</v>
      </c>
      <c r="H21" s="0" t="n">
        <v>3.4819</v>
      </c>
      <c r="I21" s="0" t="n">
        <v>1116266.71</v>
      </c>
    </row>
    <row r="22" customFormat="false" ht="15" hidden="false" customHeight="false" outlineLevel="0" collapsed="false">
      <c r="A22" s="0" t="n">
        <v>21</v>
      </c>
      <c r="B22" s="0" t="n">
        <v>-265.36</v>
      </c>
      <c r="C22" s="0" t="n">
        <v>5.8</v>
      </c>
      <c r="D22" s="0" t="n">
        <v>-23.12</v>
      </c>
      <c r="E22" s="0" t="n">
        <v>3575768.72</v>
      </c>
      <c r="F22" s="0" t="n">
        <v>497354.98</v>
      </c>
      <c r="G22" s="0" t="n">
        <v>4073123.71</v>
      </c>
      <c r="H22" s="0" t="n">
        <v>12.7049</v>
      </c>
      <c r="I22" s="0" t="n">
        <v>4073123.71</v>
      </c>
    </row>
    <row r="23" customFormat="false" ht="15" hidden="false" customHeight="false" outlineLevel="0" collapsed="false">
      <c r="A23" s="0" t="n">
        <v>22</v>
      </c>
      <c r="B23" s="0" t="n">
        <v>-55.17</v>
      </c>
      <c r="C23" s="0" t="n">
        <v>-53.12</v>
      </c>
      <c r="D23" s="0" t="n">
        <v>3.93</v>
      </c>
      <c r="E23" s="0" t="n">
        <v>743377.05</v>
      </c>
      <c r="F23" s="0" t="n">
        <v>21495.42</v>
      </c>
      <c r="G23" s="0" t="n">
        <v>764872.47</v>
      </c>
      <c r="H23" s="0" t="n">
        <v>2.3858</v>
      </c>
      <c r="I23" s="0" t="n">
        <v>764872.47</v>
      </c>
    </row>
    <row r="24" customFormat="false" ht="15" hidden="false" customHeight="false" outlineLevel="0" collapsed="false">
      <c r="A24" s="0" t="n">
        <v>23</v>
      </c>
      <c r="B24" s="0" t="n">
        <v>-7.56</v>
      </c>
      <c r="C24" s="0" t="n">
        <v>76</v>
      </c>
      <c r="D24" s="0" t="n">
        <v>54.68</v>
      </c>
      <c r="E24" s="0" t="n">
        <v>101900.1</v>
      </c>
      <c r="F24" s="0" t="n">
        <v>403.9</v>
      </c>
      <c r="G24" s="0" t="n">
        <v>102304.01</v>
      </c>
      <c r="H24" s="0" t="n">
        <v>0.3191</v>
      </c>
      <c r="I24" s="0" t="n">
        <v>102304.01</v>
      </c>
    </row>
    <row r="25" customFormat="false" ht="15" hidden="false" customHeight="false" outlineLevel="0" collapsed="false">
      <c r="A25" s="0" t="n">
        <v>24</v>
      </c>
      <c r="B25" s="0" t="n">
        <v>-29.74</v>
      </c>
      <c r="C25" s="0" t="n">
        <v>-56.8</v>
      </c>
      <c r="D25" s="0" t="n">
        <v>34.86</v>
      </c>
      <c r="E25" s="0" t="n">
        <v>400734.23</v>
      </c>
      <c r="F25" s="0" t="n">
        <v>6246.55</v>
      </c>
      <c r="G25" s="0" t="n">
        <v>406980.79</v>
      </c>
      <c r="H25" s="0" t="n">
        <v>1.2695</v>
      </c>
      <c r="I25" s="0" t="n">
        <v>406980.79</v>
      </c>
    </row>
    <row r="26" customFormat="false" ht="15" hidden="false" customHeight="false" outlineLevel="0" collapsed="false">
      <c r="A26" s="0" t="n">
        <v>25</v>
      </c>
      <c r="B26" s="0" t="n">
        <v>77.05</v>
      </c>
      <c r="C26" s="0" t="n">
        <v>4.26</v>
      </c>
      <c r="D26" s="0" t="n">
        <v>-14.69</v>
      </c>
      <c r="E26" s="0" t="n">
        <v>-1038259.63</v>
      </c>
      <c r="F26" s="0" t="n">
        <v>41931.42</v>
      </c>
      <c r="G26" s="0" t="n">
        <v>-996328.21</v>
      </c>
      <c r="H26" s="0" t="n">
        <v>-3.1078</v>
      </c>
      <c r="I26" s="0" t="n">
        <v>996328.21</v>
      </c>
    </row>
    <row r="27" customFormat="false" ht="15" hidden="false" customHeight="false" outlineLevel="0" collapsed="false">
      <c r="A27" s="0" t="n">
        <v>26</v>
      </c>
      <c r="B27" s="0" t="n">
        <v>-27.59</v>
      </c>
      <c r="C27" s="0" t="n">
        <v>-74.58</v>
      </c>
      <c r="D27" s="0" t="n">
        <v>11.18</v>
      </c>
      <c r="E27" s="0" t="n">
        <v>371781.21</v>
      </c>
      <c r="F27" s="0" t="n">
        <v>5376.54</v>
      </c>
      <c r="G27" s="0" t="n">
        <v>377157.74</v>
      </c>
      <c r="H27" s="0" t="n">
        <v>1.1764</v>
      </c>
      <c r="I27" s="0" t="n">
        <v>377157.74</v>
      </c>
    </row>
    <row r="28" customFormat="false" ht="15" hidden="false" customHeight="false" outlineLevel="0" collapsed="false">
      <c r="A28" s="0" t="n">
        <v>27</v>
      </c>
      <c r="B28" s="0" t="n">
        <v>-20.59</v>
      </c>
      <c r="C28" s="0" t="n">
        <v>12.87</v>
      </c>
      <c r="D28" s="0" t="n">
        <v>-27.44</v>
      </c>
      <c r="E28" s="0" t="n">
        <v>277494.05</v>
      </c>
      <c r="F28" s="0" t="n">
        <v>2995.26</v>
      </c>
      <c r="G28" s="0" t="n">
        <v>280489.31</v>
      </c>
      <c r="H28" s="0" t="n">
        <v>0.8749</v>
      </c>
      <c r="I28" s="0" t="n">
        <v>280489.31</v>
      </c>
    </row>
    <row r="29" customFormat="false" ht="15" hidden="false" customHeight="false" outlineLevel="0" collapsed="false">
      <c r="A29" s="0" t="n">
        <v>28</v>
      </c>
      <c r="B29" s="0" t="n">
        <v>108.91</v>
      </c>
      <c r="C29" s="0" t="n">
        <v>15.18</v>
      </c>
      <c r="D29" s="0" t="n">
        <v>-2.64</v>
      </c>
      <c r="E29" s="0" t="n">
        <v>-1467616.16</v>
      </c>
      <c r="F29" s="0" t="n">
        <v>83782.36</v>
      </c>
      <c r="G29" s="0" t="n">
        <v>-1383833.79</v>
      </c>
      <c r="H29" s="0" t="n">
        <v>-4.3165</v>
      </c>
      <c r="I29" s="0" t="n">
        <v>1383833.79</v>
      </c>
    </row>
    <row r="30" customFormat="false" ht="15" hidden="false" customHeight="false" outlineLevel="0" collapsed="false">
      <c r="A30" s="0" t="n">
        <v>29</v>
      </c>
      <c r="B30" s="0" t="n">
        <v>-36.94</v>
      </c>
      <c r="C30" s="0" t="n">
        <v>68.94</v>
      </c>
      <c r="D30" s="0" t="n">
        <v>17.44</v>
      </c>
      <c r="E30" s="0" t="n">
        <v>497785.23</v>
      </c>
      <c r="F30" s="0" t="n">
        <v>9638.55</v>
      </c>
      <c r="G30" s="0" t="n">
        <v>507423.78</v>
      </c>
      <c r="H30" s="0" t="n">
        <v>1.5828</v>
      </c>
      <c r="I30" s="0" t="n">
        <v>507423.78</v>
      </c>
    </row>
    <row r="31" customFormat="false" ht="15" hidden="false" customHeight="false" outlineLevel="0" collapsed="false">
      <c r="A31" s="0" t="n">
        <v>30</v>
      </c>
      <c r="B31" s="0" t="n">
        <v>30.47</v>
      </c>
      <c r="C31" s="0" t="n">
        <v>-58.99</v>
      </c>
      <c r="D31" s="0" t="n">
        <v>-36.77</v>
      </c>
      <c r="E31" s="0" t="n">
        <v>-410582.42</v>
      </c>
      <c r="F31" s="0" t="n">
        <v>6557.35</v>
      </c>
      <c r="G31" s="0" t="n">
        <v>-404025.07</v>
      </c>
      <c r="H31" s="0" t="n">
        <v>-1.2602</v>
      </c>
      <c r="I31" s="0" t="n">
        <v>404025.07</v>
      </c>
    </row>
    <row r="32" customFormat="false" ht="15" hidden="false" customHeight="false" outlineLevel="0" collapsed="false">
      <c r="A32" s="0" t="n">
        <v>31</v>
      </c>
      <c r="B32" s="0" t="n">
        <v>-49.2</v>
      </c>
      <c r="C32" s="0" t="n">
        <v>-17.58</v>
      </c>
      <c r="D32" s="0" t="n">
        <v>-11.52</v>
      </c>
      <c r="E32" s="0" t="n">
        <v>663013.67</v>
      </c>
      <c r="F32" s="0" t="n">
        <v>17099.07</v>
      </c>
      <c r="G32" s="0" t="n">
        <v>680112.75</v>
      </c>
      <c r="H32" s="0" t="n">
        <v>2.1214</v>
      </c>
      <c r="I32" s="0" t="n">
        <v>680112.75</v>
      </c>
    </row>
    <row r="33" customFormat="false" ht="15" hidden="false" customHeight="false" outlineLevel="0" collapsed="false">
      <c r="A33" s="0" t="n">
        <v>32</v>
      </c>
      <c r="B33" s="0" t="n">
        <v>78.27</v>
      </c>
      <c r="C33" s="0" t="n">
        <v>50.41</v>
      </c>
      <c r="D33" s="0" t="n">
        <v>-44.51</v>
      </c>
      <c r="E33" s="0" t="n">
        <v>-1054729.48</v>
      </c>
      <c r="F33" s="0" t="n">
        <v>43272.28</v>
      </c>
      <c r="G33" s="0" t="n">
        <v>-1011457.19</v>
      </c>
      <c r="H33" s="0" t="n">
        <v>-3.155</v>
      </c>
      <c r="I33" s="0" t="n">
        <v>1011457.19</v>
      </c>
    </row>
    <row r="34" customFormat="false" ht="15" hidden="false" customHeight="false" outlineLevel="0" collapsed="false">
      <c r="A34" s="0" t="n">
        <v>33</v>
      </c>
      <c r="B34" s="0" t="n">
        <v>-20.8</v>
      </c>
      <c r="C34" s="0" t="n">
        <v>76.67</v>
      </c>
      <c r="D34" s="0" t="n">
        <v>-24.1</v>
      </c>
      <c r="E34" s="0" t="n">
        <v>280286.27</v>
      </c>
      <c r="F34" s="0" t="n">
        <v>3055.84</v>
      </c>
      <c r="G34" s="0" t="n">
        <v>283342.11</v>
      </c>
      <c r="H34" s="0" t="n">
        <v>0.8838</v>
      </c>
      <c r="I34" s="0" t="n">
        <v>283342.11</v>
      </c>
    </row>
    <row r="35" customFormat="false" ht="15" hidden="false" customHeight="false" outlineLevel="0" collapsed="false">
      <c r="A35" s="0" t="n">
        <v>34</v>
      </c>
      <c r="B35" s="0" t="n">
        <v>94.01</v>
      </c>
      <c r="C35" s="0" t="n">
        <v>-16.6</v>
      </c>
      <c r="D35" s="0" t="n">
        <v>13.42</v>
      </c>
      <c r="E35" s="0" t="n">
        <v>-1266823.22</v>
      </c>
      <c r="F35" s="0" t="n">
        <v>62425.16</v>
      </c>
      <c r="G35" s="0" t="n">
        <v>-1204398.06</v>
      </c>
      <c r="H35" s="0" t="n">
        <v>-3.7568</v>
      </c>
      <c r="I35" s="0" t="n">
        <v>1204398.06</v>
      </c>
    </row>
    <row r="36" customFormat="false" ht="15" hidden="false" customHeight="false" outlineLevel="0" collapsed="false">
      <c r="A36" s="0" t="n">
        <v>35</v>
      </c>
      <c r="B36" s="0" t="n">
        <v>53.01</v>
      </c>
      <c r="C36" s="0" t="n">
        <v>30.82</v>
      </c>
      <c r="D36" s="0" t="n">
        <v>5.57</v>
      </c>
      <c r="E36" s="0" t="n">
        <v>-714346.98</v>
      </c>
      <c r="F36" s="0" t="n">
        <v>19849.34</v>
      </c>
      <c r="G36" s="0" t="n">
        <v>-694497.64</v>
      </c>
      <c r="H36" s="0" t="n">
        <v>-2.1663</v>
      </c>
      <c r="I36" s="0" t="n">
        <v>694497.64</v>
      </c>
    </row>
    <row r="37" customFormat="false" ht="15" hidden="false" customHeight="false" outlineLevel="0" collapsed="false">
      <c r="A37" s="0" t="n">
        <v>36</v>
      </c>
      <c r="B37" s="0" t="n">
        <v>-101.37</v>
      </c>
      <c r="C37" s="0" t="n">
        <v>26.22</v>
      </c>
      <c r="D37" s="0" t="n">
        <v>-8.53</v>
      </c>
      <c r="E37" s="0" t="n">
        <v>1365979.04</v>
      </c>
      <c r="F37" s="0" t="n">
        <v>72579.79</v>
      </c>
      <c r="G37" s="0" t="n">
        <v>1438558.83</v>
      </c>
      <c r="H37" s="0" t="n">
        <v>4.4872</v>
      </c>
      <c r="I37" s="0" t="n">
        <v>1438558.83</v>
      </c>
    </row>
    <row r="38" customFormat="false" ht="15" hidden="false" customHeight="false" outlineLevel="0" collapsed="false">
      <c r="A38" s="0" t="n">
        <v>37</v>
      </c>
      <c r="B38" s="0" t="n">
        <v>23.72</v>
      </c>
      <c r="C38" s="0" t="n">
        <v>57.96</v>
      </c>
      <c r="D38" s="0" t="n">
        <v>26.2</v>
      </c>
      <c r="E38" s="0" t="n">
        <v>-319613.79</v>
      </c>
      <c r="F38" s="0" t="n">
        <v>3973.55</v>
      </c>
      <c r="G38" s="0" t="n">
        <v>-315640.24</v>
      </c>
      <c r="H38" s="0" t="n">
        <v>-0.9845</v>
      </c>
      <c r="I38" s="0" t="n">
        <v>315640.24</v>
      </c>
    </row>
    <row r="39" customFormat="false" ht="15" hidden="false" customHeight="false" outlineLevel="0" collapsed="false">
      <c r="A39" s="0" t="n">
        <v>38</v>
      </c>
      <c r="B39" s="0" t="n">
        <v>-155.18</v>
      </c>
      <c r="C39" s="0" t="n">
        <v>-71.35</v>
      </c>
      <c r="D39" s="0" t="n">
        <v>-16.53</v>
      </c>
      <c r="E39" s="0" t="n">
        <v>2091035.79</v>
      </c>
      <c r="F39" s="0" t="n">
        <v>170078.95</v>
      </c>
      <c r="G39" s="0" t="n">
        <v>2261114.74</v>
      </c>
      <c r="H39" s="0" t="n">
        <v>7.0529</v>
      </c>
      <c r="I39" s="0" t="n">
        <v>2261114.74</v>
      </c>
    </row>
    <row r="40" customFormat="false" ht="15" hidden="false" customHeight="false" outlineLevel="0" collapsed="false">
      <c r="A40" s="0" t="n">
        <v>39</v>
      </c>
      <c r="B40" s="0" t="n">
        <v>184.9</v>
      </c>
      <c r="C40" s="0" t="n">
        <v>-28.44</v>
      </c>
      <c r="D40" s="0" t="n">
        <v>-10.89</v>
      </c>
      <c r="E40" s="0" t="n">
        <v>-2491546.29</v>
      </c>
      <c r="F40" s="0" t="n">
        <v>241471.32</v>
      </c>
      <c r="G40" s="0" t="n">
        <v>-2250074.97</v>
      </c>
      <c r="H40" s="0" t="n">
        <v>-7.0185</v>
      </c>
      <c r="I40" s="0" t="n">
        <v>2250074.97</v>
      </c>
    </row>
    <row r="41" customFormat="false" ht="15" hidden="false" customHeight="false" outlineLevel="0" collapsed="false">
      <c r="A41" s="0" t="n">
        <v>40</v>
      </c>
      <c r="B41" s="0" t="n">
        <v>-151.37</v>
      </c>
      <c r="C41" s="0" t="n">
        <v>16.86</v>
      </c>
      <c r="D41" s="0" t="n">
        <v>-29.5</v>
      </c>
      <c r="E41" s="0" t="n">
        <v>2039744.6</v>
      </c>
      <c r="F41" s="0" t="n">
        <v>161837.52</v>
      </c>
      <c r="G41" s="0" t="n">
        <v>2201582.12</v>
      </c>
      <c r="H41" s="0" t="n">
        <v>6.8672</v>
      </c>
      <c r="I41" s="0" t="n">
        <v>2201582.12</v>
      </c>
    </row>
    <row r="42" customFormat="false" ht="15" hidden="false" customHeight="false" outlineLevel="0" collapsed="false">
      <c r="A42" s="0" t="n">
        <v>41</v>
      </c>
      <c r="B42" s="0" t="n">
        <v>43.02</v>
      </c>
      <c r="C42" s="0" t="n">
        <v>-12.53</v>
      </c>
      <c r="D42" s="0" t="n">
        <v>3.81</v>
      </c>
      <c r="E42" s="0" t="n">
        <v>-579655.72</v>
      </c>
      <c r="F42" s="0" t="n">
        <v>13069.77</v>
      </c>
      <c r="G42" s="0" t="n">
        <v>-566585.95</v>
      </c>
      <c r="H42" s="0" t="n">
        <v>-1.7673</v>
      </c>
      <c r="I42" s="0" t="n">
        <v>566585.95</v>
      </c>
    </row>
    <row r="43" customFormat="false" ht="15" hidden="false" customHeight="false" outlineLevel="0" collapsed="false">
      <c r="A43" s="0" t="n">
        <v>42</v>
      </c>
      <c r="B43" s="0" t="n">
        <v>13.75</v>
      </c>
      <c r="C43" s="0" t="n">
        <v>-44.34</v>
      </c>
      <c r="D43" s="0" t="n">
        <v>37.5</v>
      </c>
      <c r="E43" s="0" t="n">
        <v>-185268.9</v>
      </c>
      <c r="F43" s="0" t="n">
        <v>1335.16</v>
      </c>
      <c r="G43" s="0" t="n">
        <v>-183933.74</v>
      </c>
      <c r="H43" s="0" t="n">
        <v>-0.5737</v>
      </c>
      <c r="I43" s="0" t="n">
        <v>183933.74</v>
      </c>
    </row>
    <row r="44" customFormat="false" ht="15" hidden="false" customHeight="false" outlineLevel="0" collapsed="false">
      <c r="A44" s="0" t="n">
        <v>43</v>
      </c>
      <c r="B44" s="0" t="n">
        <v>69.36</v>
      </c>
      <c r="C44" s="0" t="n">
        <v>41.4</v>
      </c>
      <c r="D44" s="0" t="n">
        <v>36.4</v>
      </c>
      <c r="E44" s="0" t="n">
        <v>-934637.82</v>
      </c>
      <c r="F44" s="0" t="n">
        <v>33979.29</v>
      </c>
      <c r="G44" s="0" t="n">
        <v>-900658.52</v>
      </c>
      <c r="H44" s="0" t="n">
        <v>-2.8093</v>
      </c>
      <c r="I44" s="0" t="n">
        <v>900658.52</v>
      </c>
    </row>
    <row r="45" customFormat="false" ht="15" hidden="false" customHeight="false" outlineLevel="0" collapsed="false">
      <c r="A45" s="0" t="n">
        <v>44</v>
      </c>
      <c r="B45" s="0" t="n">
        <v>-9.49</v>
      </c>
      <c r="C45" s="0" t="n">
        <v>30.2</v>
      </c>
      <c r="D45" s="0" t="n">
        <v>-3.44</v>
      </c>
      <c r="E45" s="0" t="n">
        <v>127821.23</v>
      </c>
      <c r="F45" s="0" t="n">
        <v>635.53</v>
      </c>
      <c r="G45" s="0" t="n">
        <v>128456.76</v>
      </c>
      <c r="H45" s="0" t="n">
        <v>0.4007</v>
      </c>
      <c r="I45" s="0" t="n">
        <v>128456.76</v>
      </c>
    </row>
    <row r="46" customFormat="false" ht="15" hidden="false" customHeight="false" outlineLevel="0" collapsed="false">
      <c r="A46" s="0" t="n">
        <v>45</v>
      </c>
      <c r="B46" s="0" t="n">
        <v>-55.65</v>
      </c>
      <c r="C46" s="0" t="n">
        <v>77.77</v>
      </c>
      <c r="D46" s="0" t="n">
        <v>11.57</v>
      </c>
      <c r="E46" s="0" t="n">
        <v>749847.58</v>
      </c>
      <c r="F46" s="0" t="n">
        <v>21871.25</v>
      </c>
      <c r="G46" s="0" t="n">
        <v>771718.83</v>
      </c>
      <c r="H46" s="0" t="n">
        <v>2.4072</v>
      </c>
      <c r="I46" s="0" t="n">
        <v>771718.83</v>
      </c>
    </row>
    <row r="47" customFormat="false" ht="15" hidden="false" customHeight="false" outlineLevel="0" collapsed="false">
      <c r="A47" s="0" t="n">
        <v>46</v>
      </c>
      <c r="B47" s="0" t="n">
        <v>35.6</v>
      </c>
      <c r="C47" s="0" t="n">
        <v>-26.19</v>
      </c>
      <c r="D47" s="0" t="n">
        <v>-43.01</v>
      </c>
      <c r="E47" s="0" t="n">
        <v>-479660.87</v>
      </c>
      <c r="F47" s="0" t="n">
        <v>8949.45</v>
      </c>
      <c r="G47" s="0" t="n">
        <v>-470711.43</v>
      </c>
      <c r="H47" s="0" t="n">
        <v>-1.4683</v>
      </c>
      <c r="I47" s="0" t="n">
        <v>470711.43</v>
      </c>
    </row>
    <row r="48" customFormat="false" ht="15" hidden="false" customHeight="false" outlineLevel="0" collapsed="false">
      <c r="A48" s="0" t="n">
        <v>47</v>
      </c>
      <c r="B48" s="0" t="n">
        <v>-24.23</v>
      </c>
      <c r="C48" s="0" t="n">
        <v>32.11</v>
      </c>
      <c r="D48" s="0" t="n">
        <v>31.33</v>
      </c>
      <c r="E48" s="0" t="n">
        <v>326511.15</v>
      </c>
      <c r="F48" s="0" t="n">
        <v>4146.9</v>
      </c>
      <c r="G48" s="0" t="n">
        <v>330658.05</v>
      </c>
      <c r="H48" s="0" t="n">
        <v>1.0314</v>
      </c>
      <c r="I48" s="0" t="n">
        <v>330658.05</v>
      </c>
    </row>
    <row r="49" customFormat="false" ht="15" hidden="false" customHeight="false" outlineLevel="0" collapsed="false">
      <c r="A49" s="0" t="n">
        <v>48</v>
      </c>
      <c r="B49" s="0" t="n">
        <v>-12.45</v>
      </c>
      <c r="C49" s="0" t="n">
        <v>1.99</v>
      </c>
      <c r="D49" s="0" t="n">
        <v>-14.55</v>
      </c>
      <c r="E49" s="0" t="n">
        <v>167812.72</v>
      </c>
      <c r="F49" s="0" t="n">
        <v>1095.41</v>
      </c>
      <c r="G49" s="0" t="n">
        <v>168908.13</v>
      </c>
      <c r="H49" s="0" t="n">
        <v>0.5269</v>
      </c>
      <c r="I49" s="0" t="n">
        <v>168908.13</v>
      </c>
    </row>
    <row r="50" customFormat="false" ht="15" hidden="false" customHeight="false" outlineLevel="0" collapsed="false">
      <c r="A50" s="0" t="n">
        <v>49</v>
      </c>
      <c r="B50" s="0" t="n">
        <v>114.28</v>
      </c>
      <c r="C50" s="0" t="n">
        <v>6.78</v>
      </c>
      <c r="D50" s="0" t="n">
        <v>-18.01</v>
      </c>
      <c r="E50" s="0" t="n">
        <v>-1539853.02</v>
      </c>
      <c r="F50" s="0" t="n">
        <v>92232.97</v>
      </c>
      <c r="G50" s="0" t="n">
        <v>-1447620.06</v>
      </c>
      <c r="H50" s="0" t="n">
        <v>-4.5154</v>
      </c>
      <c r="I50" s="0" t="n">
        <v>1447620.06</v>
      </c>
    </row>
    <row r="51" customFormat="false" ht="15" hidden="false" customHeight="false" outlineLevel="0" collapsed="false">
      <c r="A51" s="0" t="n">
        <v>50</v>
      </c>
      <c r="B51" s="0" t="n">
        <v>27.68</v>
      </c>
      <c r="C51" s="0" t="n">
        <v>71.87</v>
      </c>
      <c r="D51" s="0" t="n">
        <v>9.01</v>
      </c>
      <c r="E51" s="0" t="n">
        <v>-373023.77</v>
      </c>
      <c r="F51" s="0" t="n">
        <v>5412.53</v>
      </c>
      <c r="G51" s="0" t="n">
        <v>-367611.23</v>
      </c>
      <c r="H51" s="0" t="n">
        <v>-1.1467</v>
      </c>
      <c r="I51" s="0" t="n">
        <v>367611.23</v>
      </c>
    </row>
    <row r="52" customFormat="false" ht="15" hidden="false" customHeight="false" outlineLevel="0" collapsed="false">
      <c r="A52" s="0" t="n">
        <v>51</v>
      </c>
      <c r="B52" s="0" t="n">
        <v>-93.79</v>
      </c>
      <c r="C52" s="0" t="n">
        <v>-31.09</v>
      </c>
      <c r="D52" s="0" t="n">
        <v>7.49</v>
      </c>
      <c r="E52" s="0" t="n">
        <v>1263816.02</v>
      </c>
      <c r="F52" s="0" t="n">
        <v>62129.14</v>
      </c>
      <c r="G52" s="0" t="n">
        <v>1325945.16</v>
      </c>
      <c r="H52" s="0" t="n">
        <v>4.1359</v>
      </c>
      <c r="I52" s="0" t="n">
        <v>1325945.16</v>
      </c>
    </row>
    <row r="53" customFormat="false" ht="15" hidden="false" customHeight="false" outlineLevel="0" collapsed="false">
      <c r="A53" s="0" t="n">
        <v>52</v>
      </c>
      <c r="B53" s="0" t="n">
        <v>-16.17</v>
      </c>
      <c r="C53" s="0" t="n">
        <v>-2.29</v>
      </c>
      <c r="D53" s="0" t="n">
        <v>4.09</v>
      </c>
      <c r="E53" s="0" t="n">
        <v>217903.48</v>
      </c>
      <c r="F53" s="0" t="n">
        <v>1846.95</v>
      </c>
      <c r="G53" s="0" t="n">
        <v>219750.43</v>
      </c>
      <c r="H53" s="0" t="n">
        <v>0.6854</v>
      </c>
      <c r="I53" s="0" t="n">
        <v>219750.43</v>
      </c>
    </row>
    <row r="54" customFormat="false" ht="15" hidden="false" customHeight="false" outlineLevel="0" collapsed="false">
      <c r="A54" s="0" t="n">
        <v>53</v>
      </c>
      <c r="B54" s="0" t="n">
        <v>42.25</v>
      </c>
      <c r="C54" s="0" t="n">
        <v>14.65</v>
      </c>
      <c r="D54" s="0" t="n">
        <v>-32.04</v>
      </c>
      <c r="E54" s="0" t="n">
        <v>-569263.03</v>
      </c>
      <c r="F54" s="0" t="n">
        <v>12605.31</v>
      </c>
      <c r="G54" s="0" t="n">
        <v>-556657.72</v>
      </c>
      <c r="H54" s="0" t="n">
        <v>-1.7363</v>
      </c>
      <c r="I54" s="0" t="n">
        <v>556657.72</v>
      </c>
    </row>
    <row r="55" customFormat="false" ht="15" hidden="false" customHeight="false" outlineLevel="0" collapsed="false">
      <c r="A55" s="0" t="n">
        <v>54</v>
      </c>
      <c r="B55" s="0" t="n">
        <v>-79.44</v>
      </c>
      <c r="C55" s="0" t="n">
        <v>23.02</v>
      </c>
      <c r="D55" s="0" t="n">
        <v>42.52</v>
      </c>
      <c r="E55" s="0" t="n">
        <v>1070466.04</v>
      </c>
      <c r="F55" s="0" t="n">
        <v>44573.16</v>
      </c>
      <c r="G55" s="0" t="n">
        <v>1115039.2</v>
      </c>
      <c r="H55" s="0" t="n">
        <v>3.478</v>
      </c>
      <c r="I55" s="0" t="n">
        <v>1115039.2</v>
      </c>
    </row>
    <row r="56" customFormat="false" ht="15" hidden="false" customHeight="false" outlineLevel="0" collapsed="false">
      <c r="A56" s="0" t="n">
        <v>55</v>
      </c>
      <c r="B56" s="0" t="n">
        <v>55.15</v>
      </c>
      <c r="C56" s="0" t="n">
        <v>5.13</v>
      </c>
      <c r="D56" s="0" t="n">
        <v>-0.58</v>
      </c>
      <c r="E56" s="0" t="n">
        <v>-743076.87</v>
      </c>
      <c r="F56" s="0" t="n">
        <v>21478.06</v>
      </c>
      <c r="G56" s="0" t="n">
        <v>-721598.81</v>
      </c>
      <c r="H56" s="0" t="n">
        <v>-2.2508</v>
      </c>
      <c r="I56" s="0" t="n">
        <v>721598.81</v>
      </c>
    </row>
    <row r="57" customFormat="false" ht="15" hidden="false" customHeight="false" outlineLevel="0" collapsed="false">
      <c r="A57" s="0" t="n">
        <v>56</v>
      </c>
      <c r="B57" s="0" t="n">
        <v>-80.58</v>
      </c>
      <c r="C57" s="0" t="n">
        <v>-40.86</v>
      </c>
      <c r="D57" s="0" t="n">
        <v>-13.43</v>
      </c>
      <c r="E57" s="0" t="n">
        <v>1085851.94</v>
      </c>
      <c r="F57" s="0" t="n">
        <v>45863.68</v>
      </c>
      <c r="G57" s="0" t="n">
        <v>1131715.61</v>
      </c>
      <c r="H57" s="0" t="n">
        <v>3.5301</v>
      </c>
      <c r="I57" s="0" t="n">
        <v>1131715.61</v>
      </c>
    </row>
    <row r="58" customFormat="false" ht="15" hidden="false" customHeight="false" outlineLevel="0" collapsed="false">
      <c r="A58" s="0" t="n">
        <v>57</v>
      </c>
      <c r="B58" s="0" t="n">
        <v>106.91</v>
      </c>
      <c r="C58" s="0" t="n">
        <v>-68.79</v>
      </c>
      <c r="D58" s="0" t="n">
        <v>-26.98</v>
      </c>
      <c r="E58" s="0" t="n">
        <v>-1440545.5</v>
      </c>
      <c r="F58" s="0" t="n">
        <v>80720.08</v>
      </c>
      <c r="G58" s="0" t="n">
        <v>-1359825.42</v>
      </c>
      <c r="H58" s="0" t="n">
        <v>-4.2416</v>
      </c>
      <c r="I58" s="0" t="n">
        <v>1359825.42</v>
      </c>
    </row>
    <row r="59" customFormat="false" ht="15" hidden="false" customHeight="false" outlineLevel="0" collapsed="false">
      <c r="A59" s="0" t="n">
        <v>58</v>
      </c>
      <c r="B59" s="0" t="n">
        <v>-77.27</v>
      </c>
      <c r="C59" s="0" t="n">
        <v>84.13</v>
      </c>
      <c r="D59" s="0" t="n">
        <v>23.11</v>
      </c>
      <c r="E59" s="0" t="n">
        <v>1041173.38</v>
      </c>
      <c r="F59" s="0" t="n">
        <v>42167.1</v>
      </c>
      <c r="G59" s="0" t="n">
        <v>1083340.48</v>
      </c>
      <c r="H59" s="0" t="n">
        <v>3.3792</v>
      </c>
      <c r="I59" s="0" t="n">
        <v>1083340.48</v>
      </c>
    </row>
    <row r="60" customFormat="false" ht="15" hidden="false" customHeight="false" outlineLevel="0" collapsed="false">
      <c r="A60" s="0" t="n">
        <v>59</v>
      </c>
      <c r="B60" s="0" t="n">
        <v>10.2</v>
      </c>
      <c r="C60" s="0" t="n">
        <v>-61.13</v>
      </c>
      <c r="D60" s="0" t="n">
        <v>-16.51</v>
      </c>
      <c r="E60" s="0" t="n">
        <v>-137407.5</v>
      </c>
      <c r="F60" s="0" t="n">
        <v>734.43</v>
      </c>
      <c r="G60" s="0" t="n">
        <v>-136673.07</v>
      </c>
      <c r="H60" s="0" t="n">
        <v>-0.4263</v>
      </c>
      <c r="I60" s="0" t="n">
        <v>136673.07</v>
      </c>
    </row>
    <row r="61" customFormat="false" ht="15" hidden="false" customHeight="false" outlineLevel="0" collapsed="false">
      <c r="A61" s="0" t="n">
        <v>60</v>
      </c>
      <c r="B61" s="0" t="n">
        <v>-252.2</v>
      </c>
      <c r="C61" s="0" t="n">
        <v>39.52</v>
      </c>
      <c r="D61" s="0" t="n">
        <v>44.3</v>
      </c>
      <c r="E61" s="0" t="n">
        <v>3398367.25</v>
      </c>
      <c r="F61" s="0" t="n">
        <v>449229.48</v>
      </c>
      <c r="G61" s="0" t="n">
        <v>3847596.74</v>
      </c>
      <c r="H61" s="0" t="n">
        <v>12.0015</v>
      </c>
      <c r="I61" s="0" t="n">
        <v>3847596.74</v>
      </c>
    </row>
    <row r="62" customFormat="false" ht="15" hidden="false" customHeight="false" outlineLevel="0" collapsed="false">
      <c r="A62" s="0" t="n">
        <v>61</v>
      </c>
      <c r="B62" s="0" t="n">
        <v>160.7</v>
      </c>
      <c r="C62" s="0" t="n">
        <v>2.19</v>
      </c>
      <c r="D62" s="0" t="n">
        <v>60</v>
      </c>
      <c r="E62" s="0" t="n">
        <v>-2165489.4</v>
      </c>
      <c r="F62" s="0" t="n">
        <v>182406.27</v>
      </c>
      <c r="G62" s="0" t="n">
        <v>-1983083.13</v>
      </c>
      <c r="H62" s="0" t="n">
        <v>-6.1857</v>
      </c>
      <c r="I62" s="0" t="n">
        <v>1983083.13</v>
      </c>
    </row>
    <row r="63" customFormat="false" ht="15" hidden="false" customHeight="false" outlineLevel="0" collapsed="false">
      <c r="A63" s="0" t="n">
        <v>62</v>
      </c>
      <c r="B63" s="0" t="n">
        <v>-103.12</v>
      </c>
      <c r="C63" s="0" t="n">
        <v>33.72</v>
      </c>
      <c r="D63" s="0" t="n">
        <v>-27.38</v>
      </c>
      <c r="E63" s="0" t="n">
        <v>1389583.1</v>
      </c>
      <c r="F63" s="0" t="n">
        <v>75109.81</v>
      </c>
      <c r="G63" s="0" t="n">
        <v>1464692.91</v>
      </c>
      <c r="H63" s="0" t="n">
        <v>4.5687</v>
      </c>
      <c r="I63" s="0" t="n">
        <v>1464692.91</v>
      </c>
    </row>
    <row r="64" customFormat="false" ht="15" hidden="false" customHeight="false" outlineLevel="0" collapsed="false">
      <c r="A64" s="0" t="n">
        <v>63</v>
      </c>
      <c r="B64" s="0" t="n">
        <v>-20.49</v>
      </c>
      <c r="C64" s="0" t="n">
        <v>-30.31</v>
      </c>
      <c r="D64" s="0" t="n">
        <v>-6.61</v>
      </c>
      <c r="E64" s="0" t="n">
        <v>276045.91</v>
      </c>
      <c r="F64" s="0" t="n">
        <v>2964.08</v>
      </c>
      <c r="G64" s="0" t="n">
        <v>279010</v>
      </c>
      <c r="H64" s="0" t="n">
        <v>0.8703</v>
      </c>
      <c r="I64" s="0" t="n">
        <v>279010</v>
      </c>
    </row>
    <row r="65" customFormat="false" ht="15" hidden="false" customHeight="false" outlineLevel="0" collapsed="false">
      <c r="A65" s="0" t="n">
        <v>64</v>
      </c>
      <c r="B65" s="0" t="n">
        <v>-42.26</v>
      </c>
      <c r="C65" s="0" t="n">
        <v>71.61</v>
      </c>
      <c r="D65" s="0" t="n">
        <v>-72.92</v>
      </c>
      <c r="E65" s="0" t="n">
        <v>569389.57</v>
      </c>
      <c r="F65" s="0" t="n">
        <v>12610.92</v>
      </c>
      <c r="G65" s="0" t="n">
        <v>582000.49</v>
      </c>
      <c r="H65" s="0" t="n">
        <v>1.8154</v>
      </c>
      <c r="I65" s="0" t="n">
        <v>582000.49</v>
      </c>
    </row>
    <row r="66" customFormat="false" ht="15" hidden="false" customHeight="false" outlineLevel="0" collapsed="false">
      <c r="A66" s="0" t="n">
        <v>65</v>
      </c>
      <c r="B66" s="0" t="n">
        <v>-106.76</v>
      </c>
      <c r="C66" s="0" t="n">
        <v>27.58</v>
      </c>
      <c r="D66" s="0" t="n">
        <v>-42.46</v>
      </c>
      <c r="E66" s="0" t="n">
        <v>1438598.07</v>
      </c>
      <c r="F66" s="0" t="n">
        <v>80501.98</v>
      </c>
      <c r="G66" s="0" t="n">
        <v>1519100.06</v>
      </c>
      <c r="H66" s="0" t="n">
        <v>4.7384</v>
      </c>
      <c r="I66" s="0" t="n">
        <v>1519100.06</v>
      </c>
    </row>
    <row r="67" customFormat="false" ht="15" hidden="false" customHeight="false" outlineLevel="0" collapsed="false">
      <c r="A67" s="0" t="n">
        <v>66</v>
      </c>
      <c r="B67" s="0" t="n">
        <v>92.88</v>
      </c>
      <c r="C67" s="0" t="n">
        <v>-22.01</v>
      </c>
      <c r="D67" s="0" t="n">
        <v>30.9</v>
      </c>
      <c r="E67" s="0" t="n">
        <v>-1251506.02</v>
      </c>
      <c r="F67" s="0" t="n">
        <v>60924.72</v>
      </c>
      <c r="G67" s="0" t="n">
        <v>-1190581.3</v>
      </c>
      <c r="H67" s="0" t="n">
        <v>-3.7137</v>
      </c>
      <c r="I67" s="0" t="n">
        <v>1190581.3</v>
      </c>
    </row>
    <row r="68" customFormat="false" ht="15" hidden="false" customHeight="false" outlineLevel="0" collapsed="false">
      <c r="A68" s="0" t="n">
        <v>67</v>
      </c>
      <c r="B68" s="0" t="n">
        <v>-116.13</v>
      </c>
      <c r="C68" s="0" t="n">
        <v>-7.23</v>
      </c>
      <c r="D68" s="0" t="n">
        <v>-15.92</v>
      </c>
      <c r="E68" s="0" t="n">
        <v>1564890.79</v>
      </c>
      <c r="F68" s="0" t="n">
        <v>95256.74</v>
      </c>
      <c r="G68" s="0" t="n">
        <v>1660147.52</v>
      </c>
      <c r="H68" s="0" t="n">
        <v>5.1784</v>
      </c>
      <c r="I68" s="0" t="n">
        <v>1660147.52</v>
      </c>
    </row>
    <row r="69" customFormat="false" ht="15" hidden="false" customHeight="false" outlineLevel="0" collapsed="false">
      <c r="A69" s="0" t="n">
        <v>68</v>
      </c>
      <c r="B69" s="0" t="n">
        <v>63.13</v>
      </c>
      <c r="C69" s="0" t="n">
        <v>-3.61</v>
      </c>
      <c r="D69" s="0" t="n">
        <v>-12.24</v>
      </c>
      <c r="E69" s="0" t="n">
        <v>-850655.96</v>
      </c>
      <c r="F69" s="0" t="n">
        <v>28147.22</v>
      </c>
      <c r="G69" s="0" t="n">
        <v>-822508.74</v>
      </c>
      <c r="H69" s="0" t="n">
        <v>-2.5656</v>
      </c>
      <c r="I69" s="0" t="n">
        <v>822508.74</v>
      </c>
    </row>
    <row r="70" customFormat="false" ht="15" hidden="false" customHeight="false" outlineLevel="0" collapsed="false">
      <c r="A70" s="0" t="n">
        <v>69</v>
      </c>
      <c r="B70" s="0" t="n">
        <v>-98.49</v>
      </c>
      <c r="C70" s="0" t="n">
        <v>1.95</v>
      </c>
      <c r="D70" s="0" t="n">
        <v>-47.19</v>
      </c>
      <c r="E70" s="0" t="n">
        <v>1327156.54</v>
      </c>
      <c r="F70" s="0" t="n">
        <v>68512.83</v>
      </c>
      <c r="G70" s="0" t="n">
        <v>1395669.38</v>
      </c>
      <c r="H70" s="0" t="n">
        <v>4.3534</v>
      </c>
      <c r="I70" s="0" t="n">
        <v>1395669.38</v>
      </c>
    </row>
    <row r="71" customFormat="false" ht="15" hidden="false" customHeight="false" outlineLevel="0" collapsed="false">
      <c r="A71" s="0" t="n">
        <v>70</v>
      </c>
      <c r="B71" s="0" t="n">
        <v>43.62</v>
      </c>
      <c r="C71" s="0" t="n">
        <v>-36.95</v>
      </c>
      <c r="D71" s="0" t="n">
        <v>-53.1</v>
      </c>
      <c r="E71" s="0" t="n">
        <v>-587836.59</v>
      </c>
      <c r="F71" s="0" t="n">
        <v>13441.29</v>
      </c>
      <c r="G71" s="0" t="n">
        <v>-574395.31</v>
      </c>
      <c r="H71" s="0" t="n">
        <v>-1.7917</v>
      </c>
      <c r="I71" s="0" t="n">
        <v>574395.31</v>
      </c>
    </row>
    <row r="72" customFormat="false" ht="15" hidden="false" customHeight="false" outlineLevel="0" collapsed="false">
      <c r="A72" s="0" t="n">
        <v>71</v>
      </c>
      <c r="B72" s="0" t="n">
        <v>15.45</v>
      </c>
      <c r="C72" s="0" t="n">
        <v>50.55</v>
      </c>
      <c r="D72" s="0" t="n">
        <v>31.57</v>
      </c>
      <c r="E72" s="0" t="n">
        <v>-208122.75</v>
      </c>
      <c r="F72" s="0" t="n">
        <v>1684.87</v>
      </c>
      <c r="G72" s="0" t="n">
        <v>-206437.88</v>
      </c>
      <c r="H72" s="0" t="n">
        <v>-0.6439</v>
      </c>
      <c r="I72" s="0" t="n">
        <v>206437.88</v>
      </c>
    </row>
    <row r="73" customFormat="false" ht="15" hidden="false" customHeight="false" outlineLevel="0" collapsed="false">
      <c r="A73" s="0" t="n">
        <v>72</v>
      </c>
      <c r="B73" s="0" t="n">
        <v>-9.97</v>
      </c>
      <c r="C73" s="0" t="n">
        <v>65.96</v>
      </c>
      <c r="D73" s="0" t="n">
        <v>-49.86</v>
      </c>
      <c r="E73" s="0" t="n">
        <v>134365.38</v>
      </c>
      <c r="F73" s="0" t="n">
        <v>702.27</v>
      </c>
      <c r="G73" s="0" t="n">
        <v>135067.65</v>
      </c>
      <c r="H73" s="0" t="n">
        <v>0.4213</v>
      </c>
      <c r="I73" s="0" t="n">
        <v>135067.65</v>
      </c>
    </row>
    <row r="74" customFormat="false" ht="15" hidden="false" customHeight="false" outlineLevel="0" collapsed="false">
      <c r="A74" s="0" t="n">
        <v>73</v>
      </c>
      <c r="B74" s="0" t="n">
        <v>76.54</v>
      </c>
      <c r="C74" s="0" t="n">
        <v>-111.92</v>
      </c>
      <c r="D74" s="0" t="n">
        <v>-3.24</v>
      </c>
      <c r="E74" s="0" t="n">
        <v>-1031361.88</v>
      </c>
      <c r="F74" s="0" t="n">
        <v>41376.12</v>
      </c>
      <c r="G74" s="0" t="n">
        <v>-989985.76</v>
      </c>
      <c r="H74" s="0" t="n">
        <v>-3.088</v>
      </c>
      <c r="I74" s="0" t="n">
        <v>989985.76</v>
      </c>
    </row>
    <row r="75" customFormat="false" ht="15" hidden="false" customHeight="false" outlineLevel="0" collapsed="false">
      <c r="A75" s="0" t="n">
        <v>74</v>
      </c>
      <c r="B75" s="0" t="n">
        <v>11.87</v>
      </c>
      <c r="C75" s="0" t="n">
        <v>-34.25</v>
      </c>
      <c r="D75" s="0" t="n">
        <v>-39.81</v>
      </c>
      <c r="E75" s="0" t="n">
        <v>-159942.38</v>
      </c>
      <c r="F75" s="0" t="n">
        <v>995.07</v>
      </c>
      <c r="G75" s="0" t="n">
        <v>-158947.31</v>
      </c>
      <c r="H75" s="0" t="n">
        <v>-0.4958</v>
      </c>
      <c r="I75" s="0" t="n">
        <v>158947.31</v>
      </c>
    </row>
    <row r="76" customFormat="false" ht="15" hidden="false" customHeight="false" outlineLevel="0" collapsed="false">
      <c r="A76" s="0" t="n">
        <v>75</v>
      </c>
      <c r="B76" s="0" t="n">
        <v>-96.73</v>
      </c>
      <c r="C76" s="0" t="n">
        <v>36.85</v>
      </c>
      <c r="D76" s="0" t="n">
        <v>-6.73</v>
      </c>
      <c r="E76" s="0" t="n">
        <v>1303487.14</v>
      </c>
      <c r="F76" s="0" t="n">
        <v>66090.82</v>
      </c>
      <c r="G76" s="0" t="n">
        <v>1369577.96</v>
      </c>
      <c r="H76" s="0" t="n">
        <v>4.272</v>
      </c>
      <c r="I76" s="0" t="n">
        <v>1369577.96</v>
      </c>
    </row>
    <row r="77" customFormat="false" ht="15" hidden="false" customHeight="false" outlineLevel="0" collapsed="false">
      <c r="A77" s="0" t="n">
        <v>76</v>
      </c>
      <c r="B77" s="0" t="n">
        <v>-45.11</v>
      </c>
      <c r="C77" s="0" t="n">
        <v>-60.83</v>
      </c>
      <c r="D77" s="0" t="n">
        <v>28.38</v>
      </c>
      <c r="E77" s="0" t="n">
        <v>607879.98</v>
      </c>
      <c r="F77" s="0" t="n">
        <v>14373.53</v>
      </c>
      <c r="G77" s="0" t="n">
        <v>622253.51</v>
      </c>
      <c r="H77" s="0" t="n">
        <v>1.9409</v>
      </c>
      <c r="I77" s="0" t="n">
        <v>622253.51</v>
      </c>
    </row>
    <row r="78" customFormat="false" ht="15" hidden="false" customHeight="false" outlineLevel="0" collapsed="false">
      <c r="A78" s="0" t="n">
        <v>77</v>
      </c>
      <c r="B78" s="0" t="n">
        <v>162.84</v>
      </c>
      <c r="C78" s="0" t="n">
        <v>-11.55</v>
      </c>
      <c r="D78" s="0" t="n">
        <v>14.23</v>
      </c>
      <c r="E78" s="0" t="n">
        <v>-2194319.4</v>
      </c>
      <c r="F78" s="0" t="n">
        <v>187295.49</v>
      </c>
      <c r="G78" s="0" t="n">
        <v>-2007023.91</v>
      </c>
      <c r="H78" s="0" t="n">
        <v>-6.2603</v>
      </c>
      <c r="I78" s="0" t="n">
        <v>2007023.91</v>
      </c>
    </row>
    <row r="79" customFormat="false" ht="15" hidden="false" customHeight="false" outlineLevel="0" collapsed="false">
      <c r="A79" s="0" t="n">
        <v>78</v>
      </c>
      <c r="B79" s="0" t="n">
        <v>-38.03</v>
      </c>
      <c r="C79" s="0" t="n">
        <v>-21.83</v>
      </c>
      <c r="D79" s="0" t="n">
        <v>15.1</v>
      </c>
      <c r="E79" s="0" t="n">
        <v>512483.23</v>
      </c>
      <c r="F79" s="0" t="n">
        <v>10216.14</v>
      </c>
      <c r="G79" s="0" t="n">
        <v>522699.37</v>
      </c>
      <c r="H79" s="0" t="n">
        <v>1.6304</v>
      </c>
      <c r="I79" s="0" t="n">
        <v>522699.37</v>
      </c>
    </row>
    <row r="80" customFormat="false" ht="15" hidden="false" customHeight="false" outlineLevel="0" collapsed="false">
      <c r="A80" s="0" t="n">
        <v>79</v>
      </c>
      <c r="B80" s="0" t="n">
        <v>59.27</v>
      </c>
      <c r="C80" s="0" t="n">
        <v>91.72</v>
      </c>
      <c r="D80" s="0" t="n">
        <v>-18.01</v>
      </c>
      <c r="E80" s="0" t="n">
        <v>-798617.72</v>
      </c>
      <c r="F80" s="0" t="n">
        <v>24808.79</v>
      </c>
      <c r="G80" s="0" t="n">
        <v>-773808.93</v>
      </c>
      <c r="H80" s="0" t="n">
        <v>-2.4137</v>
      </c>
      <c r="I80" s="0" t="n">
        <v>773808.93</v>
      </c>
    </row>
    <row r="81" customFormat="false" ht="15" hidden="false" customHeight="false" outlineLevel="0" collapsed="false">
      <c r="A81" s="0" t="n">
        <v>80</v>
      </c>
      <c r="B81" s="0" t="n">
        <v>41.2</v>
      </c>
      <c r="C81" s="0" t="n">
        <v>-52.34</v>
      </c>
      <c r="D81" s="0" t="n">
        <v>16.07</v>
      </c>
      <c r="E81" s="0" t="n">
        <v>-555121.46</v>
      </c>
      <c r="F81" s="0" t="n">
        <v>11986.81</v>
      </c>
      <c r="G81" s="0" t="n">
        <v>-543134.65</v>
      </c>
      <c r="H81" s="0" t="n">
        <v>-1.6942</v>
      </c>
      <c r="I81" s="0" t="n">
        <v>543134.65</v>
      </c>
    </row>
    <row r="82" customFormat="false" ht="15" hidden="false" customHeight="false" outlineLevel="0" collapsed="false">
      <c r="A82" s="0" t="n">
        <v>81</v>
      </c>
      <c r="B82" s="0" t="n">
        <v>15.84</v>
      </c>
      <c r="C82" s="0" t="n">
        <v>-84.85</v>
      </c>
      <c r="D82" s="0" t="n">
        <v>-41.93</v>
      </c>
      <c r="E82" s="0" t="n">
        <v>-213494.15</v>
      </c>
      <c r="F82" s="0" t="n">
        <v>1772.96</v>
      </c>
      <c r="G82" s="0" t="n">
        <v>-211721.18</v>
      </c>
      <c r="H82" s="0" t="n">
        <v>-0.6604</v>
      </c>
      <c r="I82" s="0" t="n">
        <v>211721.18</v>
      </c>
    </row>
    <row r="83" customFormat="false" ht="15" hidden="false" customHeight="false" outlineLevel="0" collapsed="false">
      <c r="A83" s="0" t="n">
        <v>82</v>
      </c>
      <c r="B83" s="0" t="n">
        <v>-93.27</v>
      </c>
      <c r="C83" s="0" t="n">
        <v>37.71</v>
      </c>
      <c r="D83" s="0" t="n">
        <v>-68.2</v>
      </c>
      <c r="E83" s="0" t="n">
        <v>1256793.29</v>
      </c>
      <c r="F83" s="0" t="n">
        <v>61440.58</v>
      </c>
      <c r="G83" s="0" t="n">
        <v>1318233.87</v>
      </c>
      <c r="H83" s="0" t="n">
        <v>4.1119</v>
      </c>
      <c r="I83" s="0" t="n">
        <v>1318233.87</v>
      </c>
    </row>
    <row r="84" customFormat="false" ht="15" hidden="false" customHeight="false" outlineLevel="0" collapsed="false">
      <c r="A84" s="0" t="n">
        <v>83</v>
      </c>
      <c r="B84" s="0" t="n">
        <v>-91.66</v>
      </c>
      <c r="C84" s="0" t="n">
        <v>58.25</v>
      </c>
      <c r="D84" s="0" t="n">
        <v>84.51</v>
      </c>
      <c r="E84" s="0" t="n">
        <v>1235089.48</v>
      </c>
      <c r="F84" s="0" t="n">
        <v>59336.85</v>
      </c>
      <c r="G84" s="0" t="n">
        <v>1294426.33</v>
      </c>
      <c r="H84" s="0" t="n">
        <v>4.0376</v>
      </c>
      <c r="I84" s="0" t="n">
        <v>1294426.33</v>
      </c>
    </row>
    <row r="85" customFormat="false" ht="15" hidden="false" customHeight="false" outlineLevel="0" collapsed="false">
      <c r="A85" s="0" t="n">
        <v>84</v>
      </c>
      <c r="B85" s="0" t="n">
        <v>-91.26</v>
      </c>
      <c r="C85" s="0" t="n">
        <v>-28.16</v>
      </c>
      <c r="D85" s="0" t="n">
        <v>-1.21</v>
      </c>
      <c r="E85" s="0" t="n">
        <v>1229665.3</v>
      </c>
      <c r="F85" s="0" t="n">
        <v>58816.81</v>
      </c>
      <c r="G85" s="0" t="n">
        <v>1288482.11</v>
      </c>
      <c r="H85" s="0" t="n">
        <v>4.0191</v>
      </c>
      <c r="I85" s="0" t="n">
        <v>1288482.11</v>
      </c>
    </row>
    <row r="86" customFormat="false" ht="15" hidden="false" customHeight="false" outlineLevel="0" collapsed="false">
      <c r="A86" s="0" t="n">
        <v>85</v>
      </c>
      <c r="B86" s="0" t="n">
        <v>-48.99</v>
      </c>
      <c r="C86" s="0" t="n">
        <v>7.18</v>
      </c>
      <c r="D86" s="0" t="n">
        <v>-21.69</v>
      </c>
      <c r="E86" s="0" t="n">
        <v>660191.59</v>
      </c>
      <c r="F86" s="0" t="n">
        <v>16953.82</v>
      </c>
      <c r="G86" s="0" t="n">
        <v>677145.41</v>
      </c>
      <c r="H86" s="0" t="n">
        <v>2.1122</v>
      </c>
      <c r="I86" s="0" t="n">
        <v>677145.41</v>
      </c>
    </row>
    <row r="87" customFormat="false" ht="15" hidden="false" customHeight="false" outlineLevel="0" collapsed="false">
      <c r="A87" s="0" t="n">
        <v>86</v>
      </c>
      <c r="B87" s="0" t="n">
        <v>4.85</v>
      </c>
      <c r="C87" s="0" t="n">
        <v>11.49</v>
      </c>
      <c r="D87" s="0" t="n">
        <v>-2.61</v>
      </c>
      <c r="E87" s="0" t="n">
        <v>-65329.23</v>
      </c>
      <c r="F87" s="0" t="n">
        <v>166.01</v>
      </c>
      <c r="G87" s="0" t="n">
        <v>-65163.22</v>
      </c>
      <c r="H87" s="0" t="n">
        <v>-0.2033</v>
      </c>
      <c r="I87" s="0" t="n">
        <v>65163.22</v>
      </c>
    </row>
    <row r="88" customFormat="false" ht="15" hidden="false" customHeight="false" outlineLevel="0" collapsed="false">
      <c r="A88" s="0" t="n">
        <v>87</v>
      </c>
      <c r="B88" s="0" t="n">
        <v>-14.43</v>
      </c>
      <c r="C88" s="0" t="n">
        <v>-93.9</v>
      </c>
      <c r="D88" s="0" t="n">
        <v>-6.99</v>
      </c>
      <c r="E88" s="0" t="n">
        <v>194386.98</v>
      </c>
      <c r="F88" s="0" t="n">
        <v>1469.81</v>
      </c>
      <c r="G88" s="0" t="n">
        <v>195856.79</v>
      </c>
      <c r="H88" s="0" t="n">
        <v>0.6109</v>
      </c>
      <c r="I88" s="0" t="n">
        <v>195856.79</v>
      </c>
    </row>
    <row r="89" customFormat="false" ht="15" hidden="false" customHeight="false" outlineLevel="0" collapsed="false">
      <c r="A89" s="0" t="n">
        <v>88</v>
      </c>
      <c r="B89" s="0" t="n">
        <v>0.27</v>
      </c>
      <c r="C89" s="0" t="n">
        <v>29.35</v>
      </c>
      <c r="D89" s="0" t="n">
        <v>36.88</v>
      </c>
      <c r="E89" s="0" t="n">
        <v>-3677.08</v>
      </c>
      <c r="F89" s="0" t="n">
        <v>0.53</v>
      </c>
      <c r="G89" s="0" t="n">
        <v>-3676.55</v>
      </c>
      <c r="H89" s="0" t="n">
        <v>-0.0115</v>
      </c>
      <c r="I89" s="0" t="n">
        <v>3676.55</v>
      </c>
    </row>
    <row r="90" customFormat="false" ht="15" hidden="false" customHeight="false" outlineLevel="0" collapsed="false">
      <c r="A90" s="0" t="n">
        <v>89</v>
      </c>
      <c r="B90" s="0" t="n">
        <v>-39.48</v>
      </c>
      <c r="C90" s="0" t="n">
        <v>37.59</v>
      </c>
      <c r="D90" s="0" t="n">
        <v>-36.24</v>
      </c>
      <c r="E90" s="0" t="n">
        <v>532021.66</v>
      </c>
      <c r="F90" s="0" t="n">
        <v>11009.97</v>
      </c>
      <c r="G90" s="0" t="n">
        <v>543031.64</v>
      </c>
      <c r="H90" s="0" t="n">
        <v>1.6938</v>
      </c>
      <c r="I90" s="0" t="n">
        <v>543031.64</v>
      </c>
    </row>
    <row r="91" customFormat="false" ht="15" hidden="false" customHeight="false" outlineLevel="0" collapsed="false">
      <c r="A91" s="0" t="n">
        <v>90</v>
      </c>
      <c r="B91" s="0" t="n">
        <v>-118.16</v>
      </c>
      <c r="C91" s="0" t="n">
        <v>-32.11</v>
      </c>
      <c r="D91" s="0" t="n">
        <v>-30.82</v>
      </c>
      <c r="E91" s="0" t="n">
        <v>1592169.33</v>
      </c>
      <c r="F91" s="0" t="n">
        <v>98606.64</v>
      </c>
      <c r="G91" s="0" t="n">
        <v>1690775.97</v>
      </c>
      <c r="H91" s="0" t="n">
        <v>5.2739</v>
      </c>
      <c r="I91" s="0" t="n">
        <v>1690775.97</v>
      </c>
    </row>
    <row r="92" customFormat="false" ht="15" hidden="false" customHeight="false" outlineLevel="0" collapsed="false">
      <c r="A92" s="0" t="n">
        <v>91</v>
      </c>
      <c r="B92" s="0" t="n">
        <v>-111.88</v>
      </c>
      <c r="C92" s="0" t="n">
        <v>2.75</v>
      </c>
      <c r="D92" s="0" t="n">
        <v>-9.52</v>
      </c>
      <c r="E92" s="0" t="n">
        <v>1507618.6</v>
      </c>
      <c r="F92" s="0" t="n">
        <v>88411.88</v>
      </c>
      <c r="G92" s="0" t="n">
        <v>1596030.47</v>
      </c>
      <c r="H92" s="0" t="n">
        <v>4.9784</v>
      </c>
      <c r="I92" s="0" t="n">
        <v>1596030.47</v>
      </c>
    </row>
    <row r="93" customFormat="false" ht="15" hidden="false" customHeight="false" outlineLevel="0" collapsed="false">
      <c r="A93" s="0" t="n">
        <v>92</v>
      </c>
      <c r="B93" s="0" t="n">
        <v>113.01</v>
      </c>
      <c r="C93" s="0" t="n">
        <v>-62.5</v>
      </c>
      <c r="D93" s="0" t="n">
        <v>-1.13</v>
      </c>
      <c r="E93" s="0" t="n">
        <v>-1522866.65</v>
      </c>
      <c r="F93" s="0" t="n">
        <v>90209.31</v>
      </c>
      <c r="G93" s="0" t="n">
        <v>-1432657.34</v>
      </c>
      <c r="H93" s="0" t="n">
        <v>-4.4688</v>
      </c>
      <c r="I93" s="0" t="n">
        <v>1432657.34</v>
      </c>
    </row>
    <row r="94" customFormat="false" ht="15" hidden="false" customHeight="false" outlineLevel="0" collapsed="false">
      <c r="A94" s="0" t="n">
        <v>93</v>
      </c>
      <c r="B94" s="0" t="n">
        <v>45.53</v>
      </c>
      <c r="C94" s="0" t="n">
        <v>-58.05</v>
      </c>
      <c r="D94" s="0" t="n">
        <v>50.66</v>
      </c>
      <c r="E94" s="0" t="n">
        <v>-613546.81</v>
      </c>
      <c r="F94" s="0" t="n">
        <v>14642.76</v>
      </c>
      <c r="G94" s="0" t="n">
        <v>-598904.04</v>
      </c>
      <c r="H94" s="0" t="n">
        <v>-1.8681</v>
      </c>
      <c r="I94" s="0" t="n">
        <v>598904.04</v>
      </c>
    </row>
    <row r="95" customFormat="false" ht="15" hidden="false" customHeight="false" outlineLevel="0" collapsed="false">
      <c r="A95" s="0" t="n">
        <v>94</v>
      </c>
      <c r="B95" s="0" t="n">
        <v>18.83</v>
      </c>
      <c r="C95" s="0" t="n">
        <v>102.81</v>
      </c>
      <c r="D95" s="0" t="n">
        <v>-3.6</v>
      </c>
      <c r="E95" s="0" t="n">
        <v>-253703.08</v>
      </c>
      <c r="F95" s="0" t="n">
        <v>2503.68</v>
      </c>
      <c r="G95" s="0" t="n">
        <v>-251199.4</v>
      </c>
      <c r="H95" s="0" t="n">
        <v>-0.7835</v>
      </c>
      <c r="I95" s="0" t="n">
        <v>251199.4</v>
      </c>
    </row>
    <row r="96" customFormat="false" ht="15" hidden="false" customHeight="false" outlineLevel="0" collapsed="false">
      <c r="A96" s="0" t="n">
        <v>95</v>
      </c>
      <c r="B96" s="0" t="n">
        <v>80.13</v>
      </c>
      <c r="C96" s="0" t="n">
        <v>37.22</v>
      </c>
      <c r="D96" s="0" t="n">
        <v>19.53</v>
      </c>
      <c r="E96" s="0" t="n">
        <v>-1079756.53</v>
      </c>
      <c r="F96" s="0" t="n">
        <v>45350.21</v>
      </c>
      <c r="G96" s="0" t="n">
        <v>-1034406.32</v>
      </c>
      <c r="H96" s="0" t="n">
        <v>-3.2265</v>
      </c>
      <c r="I96" s="0" t="n">
        <v>1034406.32</v>
      </c>
    </row>
    <row r="97" customFormat="false" ht="15" hidden="false" customHeight="false" outlineLevel="0" collapsed="false">
      <c r="A97" s="0" t="n">
        <v>96</v>
      </c>
      <c r="B97" s="0" t="n">
        <v>-86.3</v>
      </c>
      <c r="C97" s="0" t="n">
        <v>30.4</v>
      </c>
      <c r="D97" s="0" t="n">
        <v>4.2</v>
      </c>
      <c r="E97" s="0" t="n">
        <v>1162907.8</v>
      </c>
      <c r="F97" s="0" t="n">
        <v>52603.93</v>
      </c>
      <c r="G97" s="0" t="n">
        <v>1215511.73</v>
      </c>
      <c r="H97" s="0" t="n">
        <v>3.7914</v>
      </c>
      <c r="I97" s="0" t="n">
        <v>1215511.73</v>
      </c>
    </row>
    <row r="98" customFormat="false" ht="15" hidden="false" customHeight="false" outlineLevel="0" collapsed="false">
      <c r="A98" s="0" t="n">
        <v>97</v>
      </c>
      <c r="B98" s="0" t="n">
        <v>-93.7</v>
      </c>
      <c r="C98" s="0" t="n">
        <v>-73.22</v>
      </c>
      <c r="D98" s="0" t="n">
        <v>13.45</v>
      </c>
      <c r="E98" s="0" t="n">
        <v>1262606.56</v>
      </c>
      <c r="F98" s="0" t="n">
        <v>62010.28</v>
      </c>
      <c r="G98" s="0" t="n">
        <v>1324616.84</v>
      </c>
      <c r="H98" s="0" t="n">
        <v>4.1318</v>
      </c>
      <c r="I98" s="0" t="n">
        <v>1324616.84</v>
      </c>
    </row>
    <row r="99" customFormat="false" ht="15" hidden="false" customHeight="false" outlineLevel="0" collapsed="false">
      <c r="A99" s="0" t="n">
        <v>98</v>
      </c>
      <c r="B99" s="0" t="n">
        <v>-39.69</v>
      </c>
      <c r="C99" s="0" t="n">
        <v>-39.24</v>
      </c>
      <c r="D99" s="0" t="n">
        <v>10.96</v>
      </c>
      <c r="E99" s="0" t="n">
        <v>534766.45</v>
      </c>
      <c r="F99" s="0" t="n">
        <v>11123.87</v>
      </c>
      <c r="G99" s="0" t="n">
        <v>545890.32</v>
      </c>
      <c r="H99" s="0" t="n">
        <v>1.7027</v>
      </c>
      <c r="I99" s="0" t="n">
        <v>545890.32</v>
      </c>
    </row>
    <row r="100" customFormat="false" ht="15" hidden="false" customHeight="false" outlineLevel="0" collapsed="false">
      <c r="A100" s="0" t="n">
        <v>99</v>
      </c>
      <c r="B100" s="0" t="n">
        <v>-130.31</v>
      </c>
      <c r="C100" s="0" t="n">
        <v>54.54</v>
      </c>
      <c r="D100" s="0" t="n">
        <v>-31.63</v>
      </c>
      <c r="E100" s="0" t="n">
        <v>1755957.03</v>
      </c>
      <c r="F100" s="0" t="n">
        <v>119937.61</v>
      </c>
      <c r="G100" s="0" t="n">
        <v>1875894.65</v>
      </c>
      <c r="H100" s="0" t="n">
        <v>5.8513</v>
      </c>
      <c r="I100" s="0" t="n">
        <v>1875894.65</v>
      </c>
    </row>
    <row r="101" customFormat="false" ht="15" hidden="false" customHeight="false" outlineLevel="0" collapsed="false">
      <c r="A101" s="0" t="n">
        <v>100</v>
      </c>
      <c r="B101" s="0" t="n">
        <v>-48.69</v>
      </c>
      <c r="C101" s="0" t="n">
        <v>-58.74</v>
      </c>
      <c r="D101" s="0" t="n">
        <v>-12.38</v>
      </c>
      <c r="E101" s="0" t="n">
        <v>656137.35</v>
      </c>
      <c r="F101" s="0" t="n">
        <v>16746.23</v>
      </c>
      <c r="G101" s="0" t="n">
        <v>672883.58</v>
      </c>
      <c r="H101" s="0" t="n">
        <v>2.0989</v>
      </c>
      <c r="I101" s="0" t="n">
        <v>672883.58</v>
      </c>
    </row>
    <row r="102" customFormat="false" ht="15" hidden="false" customHeight="false" outlineLevel="0" collapsed="false">
      <c r="A102" s="0" t="n">
        <v>101</v>
      </c>
      <c r="B102" s="0" t="n">
        <v>-126.24</v>
      </c>
      <c r="C102" s="0" t="n">
        <v>12.11</v>
      </c>
      <c r="D102" s="0" t="n">
        <v>5.64</v>
      </c>
      <c r="E102" s="0" t="n">
        <v>1701013.32</v>
      </c>
      <c r="F102" s="0" t="n">
        <v>112549.37</v>
      </c>
      <c r="G102" s="0" t="n">
        <v>1813562.68</v>
      </c>
      <c r="H102" s="0" t="n">
        <v>5.6569</v>
      </c>
      <c r="I102" s="0" t="n">
        <v>1813562.68</v>
      </c>
    </row>
    <row r="103" customFormat="false" ht="15" hidden="false" customHeight="false" outlineLevel="0" collapsed="false">
      <c r="A103" s="0" t="n">
        <v>102</v>
      </c>
      <c r="B103" s="0" t="n">
        <v>28.17</v>
      </c>
      <c r="C103" s="0" t="n">
        <v>-5.62</v>
      </c>
      <c r="D103" s="0" t="n">
        <v>39.98</v>
      </c>
      <c r="E103" s="0" t="n">
        <v>-379550.3</v>
      </c>
      <c r="F103" s="0" t="n">
        <v>5603.59</v>
      </c>
      <c r="G103" s="0" t="n">
        <v>-373946.71</v>
      </c>
      <c r="H103" s="0" t="n">
        <v>-1.1664</v>
      </c>
      <c r="I103" s="0" t="n">
        <v>373946.71</v>
      </c>
    </row>
    <row r="104" customFormat="false" ht="15" hidden="false" customHeight="false" outlineLevel="0" collapsed="false">
      <c r="A104" s="0" t="n">
        <v>103</v>
      </c>
      <c r="B104" s="0" t="n">
        <v>-108.08</v>
      </c>
      <c r="C104" s="0" t="n">
        <v>52.17</v>
      </c>
      <c r="D104" s="0" t="n">
        <v>2.54</v>
      </c>
      <c r="E104" s="0" t="n">
        <v>1456409.41</v>
      </c>
      <c r="F104" s="0" t="n">
        <v>82507.72</v>
      </c>
      <c r="G104" s="0" t="n">
        <v>1538917.13</v>
      </c>
      <c r="H104" s="0" t="n">
        <v>4.8002</v>
      </c>
      <c r="I104" s="0" t="n">
        <v>1538917.13</v>
      </c>
    </row>
    <row r="105" customFormat="false" ht="15" hidden="false" customHeight="false" outlineLevel="0" collapsed="false">
      <c r="A105" s="0" t="n">
        <v>104</v>
      </c>
      <c r="B105" s="0" t="n">
        <v>-81.38</v>
      </c>
      <c r="C105" s="0" t="n">
        <v>61.9</v>
      </c>
      <c r="D105" s="0" t="n">
        <v>15.09</v>
      </c>
      <c r="E105" s="0" t="n">
        <v>1096558.45</v>
      </c>
      <c r="F105" s="0" t="n">
        <v>46772.57</v>
      </c>
      <c r="G105" s="0" t="n">
        <v>1143331.01</v>
      </c>
      <c r="H105" s="0" t="n">
        <v>3.5663</v>
      </c>
      <c r="I105" s="0" t="n">
        <v>1143331.01</v>
      </c>
    </row>
    <row r="106" customFormat="false" ht="15" hidden="false" customHeight="false" outlineLevel="0" collapsed="false">
      <c r="A106" s="0" t="n">
        <v>105</v>
      </c>
      <c r="B106" s="0" t="n">
        <v>66.18</v>
      </c>
      <c r="C106" s="0" t="n">
        <v>34.45</v>
      </c>
      <c r="D106" s="0" t="n">
        <v>14.52</v>
      </c>
      <c r="E106" s="0" t="n">
        <v>-891812.83</v>
      </c>
      <c r="F106" s="0" t="n">
        <v>30936.78</v>
      </c>
      <c r="G106" s="0" t="n">
        <v>-860876.05</v>
      </c>
      <c r="H106" s="0" t="n">
        <v>-2.6853</v>
      </c>
      <c r="I106" s="0" t="n">
        <v>860876.05</v>
      </c>
    </row>
    <row r="107" customFormat="false" ht="15" hidden="false" customHeight="false" outlineLevel="0" collapsed="false">
      <c r="A107" s="0" t="n">
        <v>106</v>
      </c>
      <c r="B107" s="0" t="n">
        <v>-123.27</v>
      </c>
      <c r="C107" s="0" t="n">
        <v>6.68</v>
      </c>
      <c r="D107" s="0" t="n">
        <v>-41.84</v>
      </c>
      <c r="E107" s="0" t="n">
        <v>1661112.68</v>
      </c>
      <c r="F107" s="0" t="n">
        <v>107331.16</v>
      </c>
      <c r="G107" s="0" t="n">
        <v>1768443.84</v>
      </c>
      <c r="H107" s="0" t="n">
        <v>5.5162</v>
      </c>
      <c r="I107" s="0" t="n">
        <v>1768443.84</v>
      </c>
    </row>
    <row r="108" customFormat="false" ht="15" hidden="false" customHeight="false" outlineLevel="0" collapsed="false">
      <c r="A108" s="0" t="n">
        <v>107</v>
      </c>
      <c r="B108" s="0" t="n">
        <v>-77.33</v>
      </c>
      <c r="C108" s="0" t="n">
        <v>36.05</v>
      </c>
      <c r="D108" s="0" t="n">
        <v>30.87</v>
      </c>
      <c r="E108" s="0" t="n">
        <v>1042012.34</v>
      </c>
      <c r="F108" s="0" t="n">
        <v>42235.08</v>
      </c>
      <c r="G108" s="0" t="n">
        <v>1084247.42</v>
      </c>
      <c r="H108" s="0" t="n">
        <v>3.382</v>
      </c>
      <c r="I108" s="0" t="n">
        <v>1084247.42</v>
      </c>
    </row>
    <row r="109" customFormat="false" ht="15" hidden="false" customHeight="false" outlineLevel="0" collapsed="false">
      <c r="A109" s="0" t="n">
        <v>108</v>
      </c>
      <c r="B109" s="0" t="n">
        <v>-5.21</v>
      </c>
      <c r="C109" s="0" t="n">
        <v>35.09</v>
      </c>
      <c r="D109" s="0" t="n">
        <v>7.8</v>
      </c>
      <c r="E109" s="0" t="n">
        <v>70239.96</v>
      </c>
      <c r="F109" s="0" t="n">
        <v>191.91</v>
      </c>
      <c r="G109" s="0" t="n">
        <v>70431.87</v>
      </c>
      <c r="H109" s="0" t="n">
        <v>0.2197</v>
      </c>
      <c r="I109" s="0" t="n">
        <v>70431.87</v>
      </c>
    </row>
    <row r="110" customFormat="false" ht="15" hidden="false" customHeight="false" outlineLevel="0" collapsed="false">
      <c r="A110" s="0" t="n">
        <v>109</v>
      </c>
      <c r="B110" s="0" t="n">
        <v>8.34</v>
      </c>
      <c r="C110" s="0" t="n">
        <v>43.05</v>
      </c>
      <c r="D110" s="0" t="n">
        <v>39.42</v>
      </c>
      <c r="E110" s="0" t="n">
        <v>-112446.03</v>
      </c>
      <c r="F110" s="0" t="n">
        <v>491.83</v>
      </c>
      <c r="G110" s="0" t="n">
        <v>-111954.2</v>
      </c>
      <c r="H110" s="0" t="n">
        <v>-0.3492</v>
      </c>
      <c r="I110" s="0" t="n">
        <v>111954.2</v>
      </c>
    </row>
    <row r="111" customFormat="false" ht="15" hidden="false" customHeight="false" outlineLevel="0" collapsed="false">
      <c r="A111" s="0" t="n">
        <v>110</v>
      </c>
      <c r="B111" s="0" t="n">
        <v>77.64</v>
      </c>
      <c r="C111" s="0" t="n">
        <v>16.76</v>
      </c>
      <c r="D111" s="0" t="n">
        <v>-10.85</v>
      </c>
      <c r="E111" s="0" t="n">
        <v>-1046256.72</v>
      </c>
      <c r="F111" s="0" t="n">
        <v>42579.85</v>
      </c>
      <c r="G111" s="0" t="n">
        <v>-1003676.87</v>
      </c>
      <c r="H111" s="0" t="n">
        <v>-3.1307</v>
      </c>
      <c r="I111" s="0" t="n">
        <v>1003676.87</v>
      </c>
    </row>
    <row r="112" customFormat="false" ht="15" hidden="false" customHeight="false" outlineLevel="0" collapsed="false">
      <c r="A112" s="0" t="n">
        <v>111</v>
      </c>
      <c r="B112" s="0" t="n">
        <v>60.06</v>
      </c>
      <c r="C112" s="0" t="n">
        <v>54.44</v>
      </c>
      <c r="D112" s="0" t="n">
        <v>42.73</v>
      </c>
      <c r="E112" s="0" t="n">
        <v>-809240.14</v>
      </c>
      <c r="F112" s="0" t="n">
        <v>25473.14</v>
      </c>
      <c r="G112" s="0" t="n">
        <v>-783767</v>
      </c>
      <c r="H112" s="0" t="n">
        <v>-2.4447</v>
      </c>
      <c r="I112" s="0" t="n">
        <v>783767</v>
      </c>
    </row>
    <row r="113" customFormat="false" ht="15" hidden="false" customHeight="false" outlineLevel="0" collapsed="false">
      <c r="A113" s="0" t="n">
        <v>112</v>
      </c>
      <c r="B113" s="0" t="n">
        <v>34.08</v>
      </c>
      <c r="C113" s="0" t="n">
        <v>-53.14</v>
      </c>
      <c r="D113" s="0" t="n">
        <v>16.89</v>
      </c>
      <c r="E113" s="0" t="n">
        <v>-459182.91</v>
      </c>
      <c r="F113" s="0" t="n">
        <v>8201.61</v>
      </c>
      <c r="G113" s="0" t="n">
        <v>-450981.3</v>
      </c>
      <c r="H113" s="0" t="n">
        <v>-1.4067</v>
      </c>
      <c r="I113" s="0" t="n">
        <v>450981.3</v>
      </c>
    </row>
    <row r="114" customFormat="false" ht="15" hidden="false" customHeight="false" outlineLevel="0" collapsed="false">
      <c r="A114" s="0" t="n">
        <v>113</v>
      </c>
      <c r="B114" s="0" t="n">
        <v>-17.86</v>
      </c>
      <c r="C114" s="0" t="n">
        <v>4.83</v>
      </c>
      <c r="D114" s="0" t="n">
        <v>-6.25</v>
      </c>
      <c r="E114" s="0" t="n">
        <v>240722.1</v>
      </c>
      <c r="F114" s="0" t="n">
        <v>2254.03</v>
      </c>
      <c r="G114" s="0" t="n">
        <v>242976.13</v>
      </c>
      <c r="H114" s="0" t="n">
        <v>0.7579</v>
      </c>
      <c r="I114" s="0" t="n">
        <v>242976.13</v>
      </c>
    </row>
    <row r="115" customFormat="false" ht="15" hidden="false" customHeight="false" outlineLevel="0" collapsed="false">
      <c r="A115" s="0" t="n">
        <v>114</v>
      </c>
      <c r="B115" s="0" t="n">
        <v>4.01</v>
      </c>
      <c r="C115" s="0" t="n">
        <v>-26.38</v>
      </c>
      <c r="D115" s="0" t="n">
        <v>35.64</v>
      </c>
      <c r="E115" s="0" t="n">
        <v>-54076.62</v>
      </c>
      <c r="F115" s="0" t="n">
        <v>113.75</v>
      </c>
      <c r="G115" s="0" t="n">
        <v>-53962.87</v>
      </c>
      <c r="H115" s="0" t="n">
        <v>-0.1683</v>
      </c>
      <c r="I115" s="0" t="n">
        <v>53962.87</v>
      </c>
    </row>
    <row r="116" customFormat="false" ht="15" hidden="false" customHeight="false" outlineLevel="0" collapsed="false">
      <c r="A116" s="0" t="n">
        <v>115</v>
      </c>
      <c r="B116" s="0" t="n">
        <v>-19.93</v>
      </c>
      <c r="C116" s="0" t="n">
        <v>20.37</v>
      </c>
      <c r="D116" s="0" t="n">
        <v>-45.85</v>
      </c>
      <c r="E116" s="0" t="n">
        <v>268578.31</v>
      </c>
      <c r="F116" s="0" t="n">
        <v>2805.88</v>
      </c>
      <c r="G116" s="0" t="n">
        <v>271384.2</v>
      </c>
      <c r="H116" s="0" t="n">
        <v>0.8465</v>
      </c>
      <c r="I116" s="0" t="n">
        <v>271384.2</v>
      </c>
    </row>
    <row r="117" customFormat="false" ht="15" hidden="false" customHeight="false" outlineLevel="0" collapsed="false">
      <c r="A117" s="0" t="n">
        <v>116</v>
      </c>
      <c r="B117" s="0" t="n">
        <v>11.2</v>
      </c>
      <c r="C117" s="0" t="n">
        <v>16.03</v>
      </c>
      <c r="D117" s="0" t="n">
        <v>33.82</v>
      </c>
      <c r="E117" s="0" t="n">
        <v>-150892.92</v>
      </c>
      <c r="F117" s="0" t="n">
        <v>885.66</v>
      </c>
      <c r="G117" s="0" t="n">
        <v>-150007.26</v>
      </c>
      <c r="H117" s="0" t="n">
        <v>-0.4679</v>
      </c>
      <c r="I117" s="0" t="n">
        <v>150007.26</v>
      </c>
    </row>
    <row r="118" customFormat="false" ht="15" hidden="false" customHeight="false" outlineLevel="0" collapsed="false">
      <c r="A118" s="0" t="n">
        <v>117</v>
      </c>
      <c r="B118" s="0" t="n">
        <v>55.88</v>
      </c>
      <c r="C118" s="0" t="n">
        <v>-68.73</v>
      </c>
      <c r="D118" s="0" t="n">
        <v>12.66</v>
      </c>
      <c r="E118" s="0" t="n">
        <v>-753004.75</v>
      </c>
      <c r="F118" s="0" t="n">
        <v>22055.81</v>
      </c>
      <c r="G118" s="0" t="n">
        <v>-730948.94</v>
      </c>
      <c r="H118" s="0" t="n">
        <v>-2.28</v>
      </c>
      <c r="I118" s="0" t="n">
        <v>730948.94</v>
      </c>
    </row>
    <row r="119" customFormat="false" ht="15" hidden="false" customHeight="false" outlineLevel="0" collapsed="false">
      <c r="A119" s="0" t="n">
        <v>118</v>
      </c>
      <c r="B119" s="0" t="n">
        <v>73.06</v>
      </c>
      <c r="C119" s="0" t="n">
        <v>32.95</v>
      </c>
      <c r="D119" s="0" t="n">
        <v>-3.84</v>
      </c>
      <c r="E119" s="0" t="n">
        <v>-984533.23</v>
      </c>
      <c r="F119" s="0" t="n">
        <v>37704.08</v>
      </c>
      <c r="G119" s="0" t="n">
        <v>-946829.14</v>
      </c>
      <c r="H119" s="0" t="n">
        <v>-2.9534</v>
      </c>
      <c r="I119" s="0" t="n">
        <v>946829.14</v>
      </c>
    </row>
    <row r="120" customFormat="false" ht="15" hidden="false" customHeight="false" outlineLevel="0" collapsed="false">
      <c r="A120" s="0" t="n">
        <v>119</v>
      </c>
      <c r="B120" s="0" t="n">
        <v>-178.2</v>
      </c>
      <c r="C120" s="0" t="n">
        <v>-101.64</v>
      </c>
      <c r="D120" s="0" t="n">
        <v>52.04</v>
      </c>
      <c r="E120" s="0" t="n">
        <v>2401276.02</v>
      </c>
      <c r="F120" s="0" t="n">
        <v>224290.97</v>
      </c>
      <c r="G120" s="0" t="n">
        <v>2625566.99</v>
      </c>
      <c r="H120" s="0" t="n">
        <v>8.1897</v>
      </c>
      <c r="I120" s="0" t="n">
        <v>2625566.99</v>
      </c>
    </row>
    <row r="121" customFormat="false" ht="15" hidden="false" customHeight="false" outlineLevel="0" collapsed="false">
      <c r="A121" s="0" t="n">
        <v>120</v>
      </c>
      <c r="B121" s="0" t="n">
        <v>88.83</v>
      </c>
      <c r="C121" s="0" t="n">
        <v>8.78</v>
      </c>
      <c r="D121" s="0" t="n">
        <v>22.95</v>
      </c>
      <c r="E121" s="0" t="n">
        <v>-1197037.49</v>
      </c>
      <c r="F121" s="0" t="n">
        <v>55736.94</v>
      </c>
      <c r="G121" s="0" t="n">
        <v>-1141300.55</v>
      </c>
      <c r="H121" s="0" t="n">
        <v>-3.56</v>
      </c>
      <c r="I121" s="0" t="n">
        <v>1141300.55</v>
      </c>
    </row>
    <row r="122" customFormat="false" ht="15" hidden="false" customHeight="false" outlineLevel="0" collapsed="false">
      <c r="A122" s="0" t="n">
        <v>121</v>
      </c>
      <c r="B122" s="0" t="n">
        <v>-38.25</v>
      </c>
      <c r="C122" s="0" t="n">
        <v>62.41</v>
      </c>
      <c r="D122" s="0" t="n">
        <v>14.13</v>
      </c>
      <c r="E122" s="0" t="n">
        <v>515371.76</v>
      </c>
      <c r="F122" s="0" t="n">
        <v>10331.63</v>
      </c>
      <c r="G122" s="0" t="n">
        <v>525703.39</v>
      </c>
      <c r="H122" s="0" t="n">
        <v>1.6398</v>
      </c>
      <c r="I122" s="0" t="n">
        <v>525703.39</v>
      </c>
    </row>
    <row r="123" customFormat="false" ht="15" hidden="false" customHeight="false" outlineLevel="0" collapsed="false">
      <c r="A123" s="0" t="n">
        <v>122</v>
      </c>
      <c r="B123" s="0" t="n">
        <v>-131.82</v>
      </c>
      <c r="C123" s="0" t="n">
        <v>76.76</v>
      </c>
      <c r="D123" s="0" t="n">
        <v>-12.46</v>
      </c>
      <c r="E123" s="0" t="n">
        <v>1776273.41</v>
      </c>
      <c r="F123" s="0" t="n">
        <v>122729.02</v>
      </c>
      <c r="G123" s="0" t="n">
        <v>1899002.43</v>
      </c>
      <c r="H123" s="0" t="n">
        <v>5.9234</v>
      </c>
      <c r="I123" s="0" t="n">
        <v>1899002.43</v>
      </c>
    </row>
    <row r="124" customFormat="false" ht="15" hidden="false" customHeight="false" outlineLevel="0" collapsed="false">
      <c r="A124" s="0" t="n">
        <v>123</v>
      </c>
      <c r="B124" s="0" t="n">
        <v>-118.04</v>
      </c>
      <c r="C124" s="0" t="n">
        <v>-31.58</v>
      </c>
      <c r="D124" s="0" t="n">
        <v>-5.67</v>
      </c>
      <c r="E124" s="0" t="n">
        <v>1590613.6</v>
      </c>
      <c r="F124" s="0" t="n">
        <v>98414.03</v>
      </c>
      <c r="G124" s="0" t="n">
        <v>1689027.63</v>
      </c>
      <c r="H124" s="0" t="n">
        <v>5.2684</v>
      </c>
      <c r="I124" s="0" t="n">
        <v>1689027.63</v>
      </c>
    </row>
    <row r="125" customFormat="false" ht="15" hidden="false" customHeight="false" outlineLevel="0" collapsed="false">
      <c r="A125" s="0" t="n">
        <v>124</v>
      </c>
      <c r="B125" s="0" t="n">
        <v>127.89</v>
      </c>
      <c r="C125" s="0" t="n">
        <v>-51.77</v>
      </c>
      <c r="D125" s="0" t="n">
        <v>-6.14</v>
      </c>
      <c r="E125" s="0" t="n">
        <v>-1723337.68</v>
      </c>
      <c r="F125" s="0" t="n">
        <v>115522.98</v>
      </c>
      <c r="G125" s="0" t="n">
        <v>-1607814.7</v>
      </c>
      <c r="H125" s="0" t="n">
        <v>-5.0151</v>
      </c>
      <c r="I125" s="0" t="n">
        <v>1607814.7</v>
      </c>
    </row>
    <row r="126" customFormat="false" ht="15" hidden="false" customHeight="false" outlineLevel="0" collapsed="false">
      <c r="A126" s="0" t="n">
        <v>125</v>
      </c>
      <c r="B126" s="0" t="n">
        <v>-22.93</v>
      </c>
      <c r="C126" s="0" t="n">
        <v>16.35</v>
      </c>
      <c r="D126" s="0" t="n">
        <v>15.89</v>
      </c>
      <c r="E126" s="0" t="n">
        <v>308952.79</v>
      </c>
      <c r="F126" s="0" t="n">
        <v>3712.89</v>
      </c>
      <c r="G126" s="0" t="n">
        <v>312665.68</v>
      </c>
      <c r="H126" s="0" t="n">
        <v>0.9753</v>
      </c>
      <c r="I126" s="0" t="n">
        <v>312665.68</v>
      </c>
    </row>
    <row r="127" customFormat="false" ht="15" hidden="false" customHeight="false" outlineLevel="0" collapsed="false">
      <c r="A127" s="0" t="n">
        <v>126</v>
      </c>
      <c r="B127" s="0" t="n">
        <v>-106.03</v>
      </c>
      <c r="C127" s="0" t="n">
        <v>-22.76</v>
      </c>
      <c r="D127" s="0" t="n">
        <v>42.12</v>
      </c>
      <c r="E127" s="0" t="n">
        <v>1428806.44</v>
      </c>
      <c r="F127" s="0" t="n">
        <v>79409.86</v>
      </c>
      <c r="G127" s="0" t="n">
        <v>1508216.3</v>
      </c>
      <c r="H127" s="0" t="n">
        <v>4.7045</v>
      </c>
      <c r="I127" s="0" t="n">
        <v>1508216.3</v>
      </c>
    </row>
    <row r="128" customFormat="false" ht="15" hidden="false" customHeight="false" outlineLevel="0" collapsed="false">
      <c r="A128" s="0" t="n">
        <v>127</v>
      </c>
      <c r="B128" s="0" t="n">
        <v>-40.1</v>
      </c>
      <c r="C128" s="0" t="n">
        <v>47.68</v>
      </c>
      <c r="D128" s="0" t="n">
        <v>-0.29</v>
      </c>
      <c r="E128" s="0" t="n">
        <v>540287.15</v>
      </c>
      <c r="F128" s="0" t="n">
        <v>11354.73</v>
      </c>
      <c r="G128" s="0" t="n">
        <v>551641.89</v>
      </c>
      <c r="H128" s="0" t="n">
        <v>1.7207</v>
      </c>
      <c r="I128" s="0" t="n">
        <v>551641.89</v>
      </c>
    </row>
    <row r="129" customFormat="false" ht="15" hidden="false" customHeight="false" outlineLevel="0" collapsed="false">
      <c r="A129" s="0" t="n">
        <v>128</v>
      </c>
      <c r="B129" s="0" t="n">
        <v>120.36</v>
      </c>
      <c r="C129" s="0" t="n">
        <v>-29.79</v>
      </c>
      <c r="D129" s="0" t="n">
        <v>-33.29</v>
      </c>
      <c r="E129" s="0" t="n">
        <v>-1621841.72</v>
      </c>
      <c r="F129" s="0" t="n">
        <v>102316.24</v>
      </c>
      <c r="G129" s="0" t="n">
        <v>-1519525.48</v>
      </c>
      <c r="H129" s="0" t="n">
        <v>-4.7397</v>
      </c>
      <c r="I129" s="0" t="n">
        <v>1519525.48</v>
      </c>
    </row>
    <row r="130" customFormat="false" ht="15" hidden="false" customHeight="false" outlineLevel="0" collapsed="false">
      <c r="A130" s="0" t="n">
        <v>129</v>
      </c>
      <c r="B130" s="0" t="n">
        <v>103.03</v>
      </c>
      <c r="C130" s="0" t="n">
        <v>-47.83</v>
      </c>
      <c r="D130" s="0" t="n">
        <v>-19.18</v>
      </c>
      <c r="E130" s="0" t="n">
        <v>-1388390.06</v>
      </c>
      <c r="F130" s="0" t="n">
        <v>74980.9</v>
      </c>
      <c r="G130" s="0" t="n">
        <v>-1313409.17</v>
      </c>
      <c r="H130" s="0" t="n">
        <v>-4.0968</v>
      </c>
      <c r="I130" s="0" t="n">
        <v>1313409.17</v>
      </c>
    </row>
    <row r="131" customFormat="false" ht="15" hidden="false" customHeight="false" outlineLevel="0" collapsed="false">
      <c r="A131" s="0" t="n">
        <v>130</v>
      </c>
      <c r="B131" s="0" t="n">
        <v>-6.54</v>
      </c>
      <c r="C131" s="0" t="n">
        <v>-73.52</v>
      </c>
      <c r="D131" s="0" t="n">
        <v>0.22</v>
      </c>
      <c r="E131" s="0" t="n">
        <v>88114.23</v>
      </c>
      <c r="F131" s="0" t="n">
        <v>302.01</v>
      </c>
      <c r="G131" s="0" t="n">
        <v>88416.24</v>
      </c>
      <c r="H131" s="0" t="n">
        <v>0.2758</v>
      </c>
      <c r="I131" s="0" t="n">
        <v>88416.24</v>
      </c>
    </row>
    <row r="132" customFormat="false" ht="15" hidden="false" customHeight="false" outlineLevel="0" collapsed="false">
      <c r="A132" s="0" t="n">
        <v>131</v>
      </c>
      <c r="B132" s="0" t="n">
        <v>105.65</v>
      </c>
      <c r="C132" s="0" t="n">
        <v>-105.46</v>
      </c>
      <c r="D132" s="0" t="n">
        <v>-4.81</v>
      </c>
      <c r="E132" s="0" t="n">
        <v>-1423612.44</v>
      </c>
      <c r="F132" s="0" t="n">
        <v>78833.57</v>
      </c>
      <c r="G132" s="0" t="n">
        <v>-1344778.88</v>
      </c>
      <c r="H132" s="0" t="n">
        <v>-4.1947</v>
      </c>
      <c r="I132" s="0" t="n">
        <v>1344778.88</v>
      </c>
    </row>
    <row r="133" customFormat="false" ht="15" hidden="false" customHeight="false" outlineLevel="0" collapsed="false">
      <c r="A133" s="0" t="n">
        <v>132</v>
      </c>
      <c r="B133" s="0" t="n">
        <v>141.64</v>
      </c>
      <c r="C133" s="0" t="n">
        <v>35.42</v>
      </c>
      <c r="D133" s="0" t="n">
        <v>-54.74</v>
      </c>
      <c r="E133" s="0" t="n">
        <v>-1908560.88</v>
      </c>
      <c r="F133" s="0" t="n">
        <v>141690.15</v>
      </c>
      <c r="G133" s="0" t="n">
        <v>-1766870.73</v>
      </c>
      <c r="H133" s="0" t="n">
        <v>-5.5113</v>
      </c>
      <c r="I133" s="0" t="n">
        <v>1766870.73</v>
      </c>
    </row>
    <row r="134" customFormat="false" ht="15" hidden="false" customHeight="false" outlineLevel="0" collapsed="false">
      <c r="A134" s="0" t="n">
        <v>133</v>
      </c>
      <c r="B134" s="0" t="n">
        <v>194.68</v>
      </c>
      <c r="C134" s="0" t="n">
        <v>-64.52</v>
      </c>
      <c r="D134" s="0" t="n">
        <v>-1.54</v>
      </c>
      <c r="E134" s="0" t="n">
        <v>-2623358.88</v>
      </c>
      <c r="F134" s="0" t="n">
        <v>267696.72</v>
      </c>
      <c r="G134" s="0" t="n">
        <v>-2355662.16</v>
      </c>
      <c r="H134" s="0" t="n">
        <v>-7.3478</v>
      </c>
      <c r="I134" s="0" t="n">
        <v>2355662.16</v>
      </c>
    </row>
    <row r="135" customFormat="false" ht="15" hidden="false" customHeight="false" outlineLevel="0" collapsed="false">
      <c r="A135" s="0" t="n">
        <v>134</v>
      </c>
      <c r="B135" s="0" t="n">
        <v>-34.76</v>
      </c>
      <c r="C135" s="0" t="n">
        <v>17</v>
      </c>
      <c r="D135" s="0" t="n">
        <v>31.83</v>
      </c>
      <c r="E135" s="0" t="n">
        <v>468440.46</v>
      </c>
      <c r="F135" s="0" t="n">
        <v>8535.65</v>
      </c>
      <c r="G135" s="0" t="n">
        <v>476976.11</v>
      </c>
      <c r="H135" s="0" t="n">
        <v>1.4878</v>
      </c>
      <c r="I135" s="0" t="n">
        <v>476976.11</v>
      </c>
    </row>
    <row r="136" customFormat="false" ht="15" hidden="false" customHeight="false" outlineLevel="0" collapsed="false">
      <c r="A136" s="0" t="n">
        <v>135</v>
      </c>
      <c r="B136" s="0" t="n">
        <v>10.01</v>
      </c>
      <c r="C136" s="0" t="n">
        <v>82.68</v>
      </c>
      <c r="D136" s="0" t="n">
        <v>5.64</v>
      </c>
      <c r="E136" s="0" t="n">
        <v>-134928.39</v>
      </c>
      <c r="F136" s="0" t="n">
        <v>708.16</v>
      </c>
      <c r="G136" s="0" t="n">
        <v>-134220.22</v>
      </c>
      <c r="H136" s="0" t="n">
        <v>-0.4187</v>
      </c>
      <c r="I136" s="0" t="n">
        <v>134220.22</v>
      </c>
    </row>
    <row r="137" customFormat="false" ht="15" hidden="false" customHeight="false" outlineLevel="0" collapsed="false">
      <c r="A137" s="0" t="n">
        <v>136</v>
      </c>
      <c r="B137" s="0" t="n">
        <v>-191.89</v>
      </c>
      <c r="C137" s="0" t="n">
        <v>-83.83</v>
      </c>
      <c r="D137" s="0" t="n">
        <v>31.8</v>
      </c>
      <c r="E137" s="0" t="n">
        <v>2585676.53</v>
      </c>
      <c r="F137" s="0" t="n">
        <v>260061.47</v>
      </c>
      <c r="G137" s="0" t="n">
        <v>2845738</v>
      </c>
      <c r="H137" s="0" t="n">
        <v>8.8765</v>
      </c>
      <c r="I137" s="0" t="n">
        <v>2845738</v>
      </c>
    </row>
    <row r="138" customFormat="false" ht="15" hidden="false" customHeight="false" outlineLevel="0" collapsed="false">
      <c r="A138" s="0" t="n">
        <v>137</v>
      </c>
      <c r="B138" s="0" t="n">
        <v>120.24</v>
      </c>
      <c r="C138" s="0" t="n">
        <v>-37.55</v>
      </c>
      <c r="D138" s="0" t="n">
        <v>13.41</v>
      </c>
      <c r="E138" s="0" t="n">
        <v>-1620224.19</v>
      </c>
      <c r="F138" s="0" t="n">
        <v>102112.25</v>
      </c>
      <c r="G138" s="0" t="n">
        <v>-1518111.94</v>
      </c>
      <c r="H138" s="0" t="n">
        <v>-4.7353</v>
      </c>
      <c r="I138" s="0" t="n">
        <v>1518111.94</v>
      </c>
    </row>
    <row r="139" customFormat="false" ht="15" hidden="false" customHeight="false" outlineLevel="0" collapsed="false">
      <c r="A139" s="0" t="n">
        <v>138</v>
      </c>
      <c r="B139" s="0" t="n">
        <v>-64.91</v>
      </c>
      <c r="C139" s="0" t="n">
        <v>-6.82</v>
      </c>
      <c r="D139" s="0" t="n">
        <v>17.27</v>
      </c>
      <c r="E139" s="0" t="n">
        <v>874642.53</v>
      </c>
      <c r="F139" s="0" t="n">
        <v>29756.98</v>
      </c>
      <c r="G139" s="0" t="n">
        <v>904399.5</v>
      </c>
      <c r="H139" s="0" t="n">
        <v>2.821</v>
      </c>
      <c r="I139" s="0" t="n">
        <v>904399.5</v>
      </c>
    </row>
    <row r="140" customFormat="false" ht="15" hidden="false" customHeight="false" outlineLevel="0" collapsed="false">
      <c r="A140" s="0" t="n">
        <v>139</v>
      </c>
      <c r="B140" s="0" t="n">
        <v>-28.36</v>
      </c>
      <c r="C140" s="0" t="n">
        <v>-33.85</v>
      </c>
      <c r="D140" s="0" t="n">
        <v>1.24</v>
      </c>
      <c r="E140" s="0" t="n">
        <v>382183.79</v>
      </c>
      <c r="F140" s="0" t="n">
        <v>5681.62</v>
      </c>
      <c r="G140" s="0" t="n">
        <v>387865.41</v>
      </c>
      <c r="H140" s="0" t="n">
        <v>1.2098</v>
      </c>
      <c r="I140" s="0" t="n">
        <v>387865.41</v>
      </c>
    </row>
    <row r="141" customFormat="false" ht="15" hidden="false" customHeight="false" outlineLevel="0" collapsed="false">
      <c r="A141" s="0" t="n">
        <v>140</v>
      </c>
      <c r="B141" s="0" t="n">
        <v>56.86</v>
      </c>
      <c r="C141" s="0" t="n">
        <v>87.95</v>
      </c>
      <c r="D141" s="0" t="n">
        <v>9.28</v>
      </c>
      <c r="E141" s="0" t="n">
        <v>-766120.69</v>
      </c>
      <c r="F141" s="0" t="n">
        <v>22830.85</v>
      </c>
      <c r="G141" s="0" t="n">
        <v>-743289.84</v>
      </c>
      <c r="H141" s="0" t="n">
        <v>-2.3185</v>
      </c>
      <c r="I141" s="0" t="n">
        <v>743289.84</v>
      </c>
    </row>
    <row r="142" customFormat="false" ht="15" hidden="false" customHeight="false" outlineLevel="0" collapsed="false">
      <c r="A142" s="0" t="n">
        <v>141</v>
      </c>
      <c r="B142" s="0" t="n">
        <v>-42.8</v>
      </c>
      <c r="C142" s="0" t="n">
        <v>53.51</v>
      </c>
      <c r="D142" s="0" t="n">
        <v>31.37</v>
      </c>
      <c r="E142" s="0" t="n">
        <v>576682.62</v>
      </c>
      <c r="F142" s="0" t="n">
        <v>12936.04</v>
      </c>
      <c r="G142" s="0" t="n">
        <v>589618.67</v>
      </c>
      <c r="H142" s="0" t="n">
        <v>1.8391</v>
      </c>
      <c r="I142" s="0" t="n">
        <v>589618.67</v>
      </c>
    </row>
    <row r="143" customFormat="false" ht="15" hidden="false" customHeight="false" outlineLevel="0" collapsed="false">
      <c r="A143" s="0" t="n">
        <v>142</v>
      </c>
      <c r="B143" s="0" t="n">
        <v>-5.73</v>
      </c>
      <c r="C143" s="0" t="n">
        <v>27.86</v>
      </c>
      <c r="D143" s="0" t="n">
        <v>-11.26</v>
      </c>
      <c r="E143" s="0" t="n">
        <v>77151.49</v>
      </c>
      <c r="F143" s="0" t="n">
        <v>231.53</v>
      </c>
      <c r="G143" s="0" t="n">
        <v>77383.02</v>
      </c>
      <c r="H143" s="0" t="n">
        <v>0.2414</v>
      </c>
      <c r="I143" s="0" t="n">
        <v>77383.02</v>
      </c>
    </row>
    <row r="144" customFormat="false" ht="15" hidden="false" customHeight="false" outlineLevel="0" collapsed="false">
      <c r="A144" s="0" t="n">
        <v>143</v>
      </c>
      <c r="B144" s="0" t="n">
        <v>-3.46</v>
      </c>
      <c r="C144" s="0" t="n">
        <v>12.04</v>
      </c>
      <c r="D144" s="0" t="n">
        <v>5.97</v>
      </c>
      <c r="E144" s="0" t="n">
        <v>46608.37</v>
      </c>
      <c r="F144" s="0" t="n">
        <v>84.5</v>
      </c>
      <c r="G144" s="0" t="n">
        <v>46692.87</v>
      </c>
      <c r="H144" s="0" t="n">
        <v>0.1456</v>
      </c>
      <c r="I144" s="0" t="n">
        <v>46692.87</v>
      </c>
    </row>
    <row r="145" customFormat="false" ht="15" hidden="false" customHeight="false" outlineLevel="0" collapsed="false">
      <c r="A145" s="0" t="n">
        <v>144</v>
      </c>
      <c r="B145" s="0" t="n">
        <v>-78.18</v>
      </c>
      <c r="C145" s="0" t="n">
        <v>-68.27</v>
      </c>
      <c r="D145" s="0" t="n">
        <v>-13.51</v>
      </c>
      <c r="E145" s="0" t="n">
        <v>1053484.55</v>
      </c>
      <c r="F145" s="0" t="n">
        <v>43170.19</v>
      </c>
      <c r="G145" s="0" t="n">
        <v>1096654.74</v>
      </c>
      <c r="H145" s="0" t="n">
        <v>3.4207</v>
      </c>
      <c r="I145" s="0" t="n">
        <v>1096654.74</v>
      </c>
    </row>
    <row r="146" customFormat="false" ht="15" hidden="false" customHeight="false" outlineLevel="0" collapsed="false">
      <c r="A146" s="0" t="n">
        <v>145</v>
      </c>
      <c r="B146" s="0" t="n">
        <v>154.51</v>
      </c>
      <c r="C146" s="0" t="n">
        <v>21</v>
      </c>
      <c r="D146" s="0" t="n">
        <v>2.04</v>
      </c>
      <c r="E146" s="0" t="n">
        <v>-2082029.07</v>
      </c>
      <c r="F146" s="0" t="n">
        <v>168616.94</v>
      </c>
      <c r="G146" s="0" t="n">
        <v>-1913412.13</v>
      </c>
      <c r="H146" s="0" t="n">
        <v>-5.9683</v>
      </c>
      <c r="I146" s="0" t="n">
        <v>1913412.13</v>
      </c>
    </row>
    <row r="147" customFormat="false" ht="15" hidden="false" customHeight="false" outlineLevel="0" collapsed="false">
      <c r="A147" s="0" t="n">
        <v>146</v>
      </c>
      <c r="B147" s="0" t="n">
        <v>-33.05</v>
      </c>
      <c r="C147" s="0" t="n">
        <v>34.54</v>
      </c>
      <c r="D147" s="0" t="n">
        <v>-15.77</v>
      </c>
      <c r="E147" s="0" t="n">
        <v>445342.24</v>
      </c>
      <c r="F147" s="0" t="n">
        <v>7714.64</v>
      </c>
      <c r="G147" s="0" t="n">
        <v>453056.87</v>
      </c>
      <c r="H147" s="0" t="n">
        <v>1.4132</v>
      </c>
      <c r="I147" s="0" t="n">
        <v>453056.87</v>
      </c>
    </row>
    <row r="148" customFormat="false" ht="15" hidden="false" customHeight="false" outlineLevel="0" collapsed="false">
      <c r="A148" s="0" t="n">
        <v>147</v>
      </c>
      <c r="B148" s="0" t="n">
        <v>-10.76</v>
      </c>
      <c r="C148" s="0" t="n">
        <v>17.31</v>
      </c>
      <c r="D148" s="0" t="n">
        <v>61.4</v>
      </c>
      <c r="E148" s="0" t="n">
        <v>145022.92</v>
      </c>
      <c r="F148" s="0" t="n">
        <v>818.09</v>
      </c>
      <c r="G148" s="0" t="n">
        <v>145841.01</v>
      </c>
      <c r="H148" s="0" t="n">
        <v>0.4549</v>
      </c>
      <c r="I148" s="0" t="n">
        <v>145841.01</v>
      </c>
    </row>
    <row r="149" customFormat="false" ht="15" hidden="false" customHeight="false" outlineLevel="0" collapsed="false">
      <c r="A149" s="0" t="n">
        <v>148</v>
      </c>
      <c r="B149" s="0" t="n">
        <v>-59.34</v>
      </c>
      <c r="C149" s="0" t="n">
        <v>-49.21</v>
      </c>
      <c r="D149" s="0" t="n">
        <v>-55.07</v>
      </c>
      <c r="E149" s="0" t="n">
        <v>799637.37</v>
      </c>
      <c r="F149" s="0" t="n">
        <v>24872.18</v>
      </c>
      <c r="G149" s="0" t="n">
        <v>824509.55</v>
      </c>
      <c r="H149" s="0" t="n">
        <v>2.5718</v>
      </c>
      <c r="I149" s="0" t="n">
        <v>824509.55</v>
      </c>
    </row>
    <row r="150" customFormat="false" ht="15" hidden="false" customHeight="false" outlineLevel="0" collapsed="false">
      <c r="A150" s="0" t="n">
        <v>149</v>
      </c>
      <c r="B150" s="0" t="n">
        <v>-152.61</v>
      </c>
      <c r="C150" s="0" t="n">
        <v>57.75</v>
      </c>
      <c r="D150" s="0" t="n">
        <v>12.12</v>
      </c>
      <c r="E150" s="0" t="n">
        <v>2056403.37</v>
      </c>
      <c r="F150" s="0" t="n">
        <v>164491.8</v>
      </c>
      <c r="G150" s="0" t="n">
        <v>2220895.17</v>
      </c>
      <c r="H150" s="0" t="n">
        <v>6.9275</v>
      </c>
      <c r="I150" s="0" t="n">
        <v>2220895.17</v>
      </c>
    </row>
    <row r="151" customFormat="false" ht="15" hidden="false" customHeight="false" outlineLevel="0" collapsed="false">
      <c r="A151" s="0" t="n">
        <v>150</v>
      </c>
      <c r="B151" s="0" t="n">
        <v>-61.27</v>
      </c>
      <c r="C151" s="0" t="n">
        <v>-53.13</v>
      </c>
      <c r="D151" s="0" t="n">
        <v>-15.24</v>
      </c>
      <c r="E151" s="0" t="n">
        <v>825601.12</v>
      </c>
      <c r="F151" s="0" t="n">
        <v>26513.57</v>
      </c>
      <c r="G151" s="0" t="n">
        <v>852114.69</v>
      </c>
      <c r="H151" s="0" t="n">
        <v>2.6579</v>
      </c>
      <c r="I151" s="0" t="n">
        <v>852114.69</v>
      </c>
    </row>
    <row r="152" customFormat="false" ht="15" hidden="false" customHeight="false" outlineLevel="0" collapsed="false">
      <c r="A152" s="0" t="n">
        <v>151</v>
      </c>
      <c r="B152" s="0" t="n">
        <v>107.29</v>
      </c>
      <c r="C152" s="0" t="n">
        <v>50.78</v>
      </c>
      <c r="D152" s="0" t="n">
        <v>-45.35</v>
      </c>
      <c r="E152" s="0" t="n">
        <v>-1445666.91</v>
      </c>
      <c r="F152" s="0" t="n">
        <v>81295.05</v>
      </c>
      <c r="G152" s="0" t="n">
        <v>-1364371.86</v>
      </c>
      <c r="H152" s="0" t="n">
        <v>-4.2558</v>
      </c>
      <c r="I152" s="0" t="n">
        <v>1364371.86</v>
      </c>
    </row>
    <row r="153" customFormat="false" ht="15" hidden="false" customHeight="false" outlineLevel="0" collapsed="false">
      <c r="A153" s="0" t="n">
        <v>152</v>
      </c>
      <c r="B153" s="0" t="n">
        <v>-83.62</v>
      </c>
      <c r="C153" s="0" t="n">
        <v>-57.83</v>
      </c>
      <c r="D153" s="0" t="n">
        <v>-5.55</v>
      </c>
      <c r="E153" s="0" t="n">
        <v>1126817.73</v>
      </c>
      <c r="F153" s="0" t="n">
        <v>49389.54</v>
      </c>
      <c r="G153" s="0" t="n">
        <v>1176207.27</v>
      </c>
      <c r="H153" s="0" t="n">
        <v>3.6688</v>
      </c>
      <c r="I153" s="0" t="n">
        <v>1176207.27</v>
      </c>
    </row>
    <row r="154" customFormat="false" ht="15" hidden="false" customHeight="false" outlineLevel="0" collapsed="false">
      <c r="A154" s="0" t="n">
        <v>153</v>
      </c>
      <c r="B154" s="0" t="n">
        <v>114.16</v>
      </c>
      <c r="C154" s="0" t="n">
        <v>36.35</v>
      </c>
      <c r="D154" s="0" t="n">
        <v>3.78</v>
      </c>
      <c r="E154" s="0" t="n">
        <v>-1538271.23</v>
      </c>
      <c r="F154" s="0" t="n">
        <v>92043.57</v>
      </c>
      <c r="G154" s="0" t="n">
        <v>-1446227.66</v>
      </c>
      <c r="H154" s="0" t="n">
        <v>-4.5111</v>
      </c>
      <c r="I154" s="0" t="n">
        <v>1446227.66</v>
      </c>
    </row>
    <row r="155" customFormat="false" ht="15" hidden="false" customHeight="false" outlineLevel="0" collapsed="false">
      <c r="A155" s="0" t="n">
        <v>154</v>
      </c>
      <c r="B155" s="0" t="n">
        <v>-85.8</v>
      </c>
      <c r="C155" s="0" t="n">
        <v>40.43</v>
      </c>
      <c r="D155" s="0" t="n">
        <v>-42.63</v>
      </c>
      <c r="E155" s="0" t="n">
        <v>1156166.06</v>
      </c>
      <c r="F155" s="0" t="n">
        <v>51995.78</v>
      </c>
      <c r="G155" s="0" t="n">
        <v>1208161.84</v>
      </c>
      <c r="H155" s="0" t="n">
        <v>3.7685</v>
      </c>
      <c r="I155" s="0" t="n">
        <v>1208161.84</v>
      </c>
    </row>
    <row r="156" customFormat="false" ht="15" hidden="false" customHeight="false" outlineLevel="0" collapsed="false">
      <c r="A156" s="0" t="n">
        <v>155</v>
      </c>
      <c r="B156" s="0" t="n">
        <v>56.74</v>
      </c>
      <c r="C156" s="0" t="n">
        <v>-77.51</v>
      </c>
      <c r="D156" s="0" t="n">
        <v>19.33</v>
      </c>
      <c r="E156" s="0" t="n">
        <v>-764518.46</v>
      </c>
      <c r="F156" s="0" t="n">
        <v>22735.45</v>
      </c>
      <c r="G156" s="0" t="n">
        <v>-741783.01</v>
      </c>
      <c r="H156" s="0" t="n">
        <v>-2.3138</v>
      </c>
      <c r="I156" s="0" t="n">
        <v>741783.01</v>
      </c>
    </row>
    <row r="157" customFormat="false" ht="15" hidden="false" customHeight="false" outlineLevel="0" collapsed="false">
      <c r="A157" s="0" t="n">
        <v>156</v>
      </c>
      <c r="B157" s="0" t="n">
        <v>-27.65</v>
      </c>
      <c r="C157" s="0" t="n">
        <v>27.18</v>
      </c>
      <c r="D157" s="0" t="n">
        <v>12.95</v>
      </c>
      <c r="E157" s="0" t="n">
        <v>372577.72</v>
      </c>
      <c r="F157" s="0" t="n">
        <v>5399.6</v>
      </c>
      <c r="G157" s="0" t="n">
        <v>377977.31</v>
      </c>
      <c r="H157" s="0" t="n">
        <v>1.179</v>
      </c>
      <c r="I157" s="0" t="n">
        <v>377977.31</v>
      </c>
    </row>
    <row r="158" customFormat="false" ht="15" hidden="false" customHeight="false" outlineLevel="0" collapsed="false">
      <c r="A158" s="0" t="n">
        <v>157</v>
      </c>
      <c r="B158" s="0" t="n">
        <v>-15.74</v>
      </c>
      <c r="C158" s="0" t="n">
        <v>50.62</v>
      </c>
      <c r="D158" s="0" t="n">
        <v>6.63</v>
      </c>
      <c r="E158" s="0" t="n">
        <v>212097.17</v>
      </c>
      <c r="F158" s="0" t="n">
        <v>1749.84</v>
      </c>
      <c r="G158" s="0" t="n">
        <v>213847</v>
      </c>
      <c r="H158" s="0" t="n">
        <v>0.667</v>
      </c>
      <c r="I158" s="0" t="n">
        <v>213847</v>
      </c>
    </row>
    <row r="159" customFormat="false" ht="15" hidden="false" customHeight="false" outlineLevel="0" collapsed="false">
      <c r="A159" s="0" t="n">
        <v>158</v>
      </c>
      <c r="B159" s="0" t="n">
        <v>-25.74</v>
      </c>
      <c r="C159" s="0" t="n">
        <v>-75.84</v>
      </c>
      <c r="D159" s="0" t="n">
        <v>-9.71</v>
      </c>
      <c r="E159" s="0" t="n">
        <v>346877.91</v>
      </c>
      <c r="F159" s="0" t="n">
        <v>4680.38</v>
      </c>
      <c r="G159" s="0" t="n">
        <v>351558.28</v>
      </c>
      <c r="H159" s="0" t="n">
        <v>1.0966</v>
      </c>
      <c r="I159" s="0" t="n">
        <v>351558.28</v>
      </c>
    </row>
    <row r="160" customFormat="false" ht="15" hidden="false" customHeight="false" outlineLevel="0" collapsed="false">
      <c r="A160" s="0" t="n">
        <v>159</v>
      </c>
      <c r="B160" s="0" t="n">
        <v>95.29</v>
      </c>
      <c r="C160" s="0" t="n">
        <v>40.93</v>
      </c>
      <c r="D160" s="0" t="n">
        <v>-22.28</v>
      </c>
      <c r="E160" s="0" t="n">
        <v>-1284028.92</v>
      </c>
      <c r="F160" s="0" t="n">
        <v>64132.36</v>
      </c>
      <c r="G160" s="0" t="n">
        <v>-1219896.56</v>
      </c>
      <c r="H160" s="0" t="n">
        <v>-3.8051</v>
      </c>
      <c r="I160" s="0" t="n">
        <v>1219896.56</v>
      </c>
    </row>
    <row r="161" customFormat="false" ht="15" hidden="false" customHeight="false" outlineLevel="0" collapsed="false">
      <c r="A161" s="0" t="n">
        <v>160</v>
      </c>
      <c r="B161" s="0" t="n">
        <v>11.83</v>
      </c>
      <c r="C161" s="0" t="n">
        <v>-15.18</v>
      </c>
      <c r="D161" s="0" t="n">
        <v>51.75</v>
      </c>
      <c r="E161" s="0" t="n">
        <v>-159454.96</v>
      </c>
      <c r="F161" s="0" t="n">
        <v>989.02</v>
      </c>
      <c r="G161" s="0" t="n">
        <v>-158465.95</v>
      </c>
      <c r="H161" s="0" t="n">
        <v>-0.4943</v>
      </c>
      <c r="I161" s="0" t="n">
        <v>158465.95</v>
      </c>
    </row>
    <row r="162" customFormat="false" ht="15" hidden="false" customHeight="false" outlineLevel="0" collapsed="false">
      <c r="A162" s="0" t="n">
        <v>161</v>
      </c>
      <c r="B162" s="0" t="n">
        <v>69.65</v>
      </c>
      <c r="C162" s="0" t="n">
        <v>44.85</v>
      </c>
      <c r="D162" s="0" t="n">
        <v>-17.36</v>
      </c>
      <c r="E162" s="0" t="n">
        <v>-938542.3</v>
      </c>
      <c r="F162" s="0" t="n">
        <v>34263.78</v>
      </c>
      <c r="G162" s="0" t="n">
        <v>-904278.52</v>
      </c>
      <c r="H162" s="0" t="n">
        <v>-2.8206</v>
      </c>
      <c r="I162" s="0" t="n">
        <v>904278.52</v>
      </c>
    </row>
    <row r="163" customFormat="false" ht="15" hidden="false" customHeight="false" outlineLevel="0" collapsed="false">
      <c r="A163" s="0" t="n">
        <v>162</v>
      </c>
      <c r="B163" s="0" t="n">
        <v>63.4</v>
      </c>
      <c r="C163" s="0" t="n">
        <v>-66.31</v>
      </c>
      <c r="D163" s="0" t="n">
        <v>-51.56</v>
      </c>
      <c r="E163" s="0" t="n">
        <v>-854343.52</v>
      </c>
      <c r="F163" s="0" t="n">
        <v>28391.78</v>
      </c>
      <c r="G163" s="0" t="n">
        <v>-825951.73</v>
      </c>
      <c r="H163" s="0" t="n">
        <v>-2.5763</v>
      </c>
      <c r="I163" s="0" t="n">
        <v>825951.73</v>
      </c>
    </row>
    <row r="164" customFormat="false" ht="15" hidden="false" customHeight="false" outlineLevel="0" collapsed="false">
      <c r="A164" s="0" t="n">
        <v>163</v>
      </c>
      <c r="B164" s="0" t="n">
        <v>160.1</v>
      </c>
      <c r="C164" s="0" t="n">
        <v>17.79</v>
      </c>
      <c r="D164" s="0" t="n">
        <v>3.04</v>
      </c>
      <c r="E164" s="0" t="n">
        <v>-2157375.95</v>
      </c>
      <c r="F164" s="0" t="n">
        <v>181041.98</v>
      </c>
      <c r="G164" s="0" t="n">
        <v>-1976333.97</v>
      </c>
      <c r="H164" s="0" t="n">
        <v>-6.1646</v>
      </c>
      <c r="I164" s="0" t="n">
        <v>1976333.97</v>
      </c>
    </row>
    <row r="165" customFormat="false" ht="15" hidden="false" customHeight="false" outlineLevel="0" collapsed="false">
      <c r="A165" s="0" t="n">
        <v>164</v>
      </c>
      <c r="B165" s="0" t="n">
        <v>-31.96</v>
      </c>
      <c r="C165" s="0" t="n">
        <v>64.8</v>
      </c>
      <c r="D165" s="0" t="n">
        <v>-22.19</v>
      </c>
      <c r="E165" s="0" t="n">
        <v>430662.03</v>
      </c>
      <c r="F165" s="0" t="n">
        <v>7214.41</v>
      </c>
      <c r="G165" s="0" t="n">
        <v>437876.44</v>
      </c>
      <c r="H165" s="0" t="n">
        <v>1.3658</v>
      </c>
      <c r="I165" s="0" t="n">
        <v>437876.44</v>
      </c>
    </row>
    <row r="166" customFormat="false" ht="15" hidden="false" customHeight="false" outlineLevel="0" collapsed="false">
      <c r="A166" s="0" t="n">
        <v>165</v>
      </c>
      <c r="B166" s="0" t="n">
        <v>-1.85</v>
      </c>
      <c r="C166" s="0" t="n">
        <v>49.27</v>
      </c>
      <c r="D166" s="0" t="n">
        <v>-29.94</v>
      </c>
      <c r="E166" s="0" t="n">
        <v>24887.86</v>
      </c>
      <c r="F166" s="0" t="n">
        <v>24.09</v>
      </c>
      <c r="G166" s="0" t="n">
        <v>24911.96</v>
      </c>
      <c r="H166" s="0" t="n">
        <v>0.0777</v>
      </c>
      <c r="I166" s="0" t="n">
        <v>24911.96</v>
      </c>
    </row>
    <row r="167" customFormat="false" ht="15" hidden="false" customHeight="false" outlineLevel="0" collapsed="false">
      <c r="A167" s="0" t="n">
        <v>166</v>
      </c>
      <c r="B167" s="0" t="n">
        <v>-119.01</v>
      </c>
      <c r="C167" s="0" t="n">
        <v>62.38</v>
      </c>
      <c r="D167" s="0" t="n">
        <v>-26.07</v>
      </c>
      <c r="E167" s="0" t="n">
        <v>1603664.31</v>
      </c>
      <c r="F167" s="0" t="n">
        <v>100035.6</v>
      </c>
      <c r="G167" s="0" t="n">
        <v>1703699.91</v>
      </c>
      <c r="H167" s="0" t="n">
        <v>5.3142</v>
      </c>
      <c r="I167" s="0" t="n">
        <v>1703699.91</v>
      </c>
    </row>
    <row r="168" customFormat="false" ht="15" hidden="false" customHeight="false" outlineLevel="0" collapsed="false">
      <c r="A168" s="0" t="n">
        <v>167</v>
      </c>
      <c r="B168" s="0" t="n">
        <v>-71.68</v>
      </c>
      <c r="C168" s="0" t="n">
        <v>-7.99</v>
      </c>
      <c r="D168" s="0" t="n">
        <v>-3.53</v>
      </c>
      <c r="E168" s="0" t="n">
        <v>965917.71</v>
      </c>
      <c r="F168" s="0" t="n">
        <v>36291.75</v>
      </c>
      <c r="G168" s="0" t="n">
        <v>1002209.45</v>
      </c>
      <c r="H168" s="0" t="n">
        <v>3.1261</v>
      </c>
      <c r="I168" s="0" t="n">
        <v>1002209.45</v>
      </c>
    </row>
    <row r="169" customFormat="false" ht="15" hidden="false" customHeight="false" outlineLevel="0" collapsed="false">
      <c r="A169" s="0" t="n">
        <v>168</v>
      </c>
      <c r="B169" s="0" t="n">
        <v>4.45</v>
      </c>
      <c r="C169" s="0" t="n">
        <v>111.08</v>
      </c>
      <c r="D169" s="0" t="n">
        <v>-16.78</v>
      </c>
      <c r="E169" s="0" t="n">
        <v>-59956.89</v>
      </c>
      <c r="F169" s="0" t="n">
        <v>139.83</v>
      </c>
      <c r="G169" s="0" t="n">
        <v>-59817.06</v>
      </c>
      <c r="H169" s="0" t="n">
        <v>-0.1866</v>
      </c>
      <c r="I169" s="0" t="n">
        <v>59817.06</v>
      </c>
    </row>
    <row r="170" customFormat="false" ht="15" hidden="false" customHeight="false" outlineLevel="0" collapsed="false">
      <c r="A170" s="0" t="n">
        <v>169</v>
      </c>
      <c r="B170" s="0" t="n">
        <v>73.61</v>
      </c>
      <c r="C170" s="0" t="n">
        <v>-20.86</v>
      </c>
      <c r="D170" s="0" t="n">
        <v>46.45</v>
      </c>
      <c r="E170" s="0" t="n">
        <v>-991854.74</v>
      </c>
      <c r="F170" s="0" t="n">
        <v>38266.94</v>
      </c>
      <c r="G170" s="0" t="n">
        <v>-953587.79</v>
      </c>
      <c r="H170" s="0" t="n">
        <v>-2.9744</v>
      </c>
      <c r="I170" s="0" t="n">
        <v>953587.79</v>
      </c>
    </row>
    <row r="171" customFormat="false" ht="15" hidden="false" customHeight="false" outlineLevel="0" collapsed="false">
      <c r="A171" s="0" t="n">
        <v>170</v>
      </c>
      <c r="B171" s="0" t="n">
        <v>-65.49</v>
      </c>
      <c r="C171" s="0" t="n">
        <v>-29.08</v>
      </c>
      <c r="D171" s="0" t="n">
        <v>56.81</v>
      </c>
      <c r="E171" s="0" t="n">
        <v>882432.03</v>
      </c>
      <c r="F171" s="0" t="n">
        <v>30289.36</v>
      </c>
      <c r="G171" s="0" t="n">
        <v>912721.4</v>
      </c>
      <c r="H171" s="0" t="n">
        <v>2.847</v>
      </c>
      <c r="I171" s="0" t="n">
        <v>912721.4</v>
      </c>
    </row>
    <row r="172" customFormat="false" ht="15" hidden="false" customHeight="false" outlineLevel="0" collapsed="false">
      <c r="A172" s="0" t="n">
        <v>171</v>
      </c>
      <c r="B172" s="0" t="n">
        <v>57.47</v>
      </c>
      <c r="C172" s="0" t="n">
        <v>45.42</v>
      </c>
      <c r="D172" s="0" t="n">
        <v>-22.48</v>
      </c>
      <c r="E172" s="0" t="n">
        <v>-774394.01</v>
      </c>
      <c r="F172" s="0" t="n">
        <v>23326.61</v>
      </c>
      <c r="G172" s="0" t="n">
        <v>-751067.4</v>
      </c>
      <c r="H172" s="0" t="n">
        <v>-2.3427</v>
      </c>
      <c r="I172" s="0" t="n">
        <v>751067.4</v>
      </c>
    </row>
    <row r="173" customFormat="false" ht="15" hidden="false" customHeight="false" outlineLevel="0" collapsed="false">
      <c r="A173" s="0" t="n">
        <v>172</v>
      </c>
      <c r="B173" s="0" t="n">
        <v>166.85</v>
      </c>
      <c r="C173" s="0" t="n">
        <v>-54.33</v>
      </c>
      <c r="D173" s="0" t="n">
        <v>-41.72</v>
      </c>
      <c r="E173" s="0" t="n">
        <v>-2248232.49</v>
      </c>
      <c r="F173" s="0" t="n">
        <v>196612.02</v>
      </c>
      <c r="G173" s="0" t="n">
        <v>-2051620.47</v>
      </c>
      <c r="H173" s="0" t="n">
        <v>-6.3994</v>
      </c>
      <c r="I173" s="0" t="n">
        <v>2051620.47</v>
      </c>
    </row>
    <row r="174" customFormat="false" ht="15" hidden="false" customHeight="false" outlineLevel="0" collapsed="false">
      <c r="A174" s="0" t="n">
        <v>173</v>
      </c>
      <c r="B174" s="0" t="n">
        <v>-6.15</v>
      </c>
      <c r="C174" s="0" t="n">
        <v>20.2</v>
      </c>
      <c r="D174" s="0" t="n">
        <v>6.42</v>
      </c>
      <c r="E174" s="0" t="n">
        <v>82840.85</v>
      </c>
      <c r="F174" s="0" t="n">
        <v>266.94</v>
      </c>
      <c r="G174" s="0" t="n">
        <v>83107.79</v>
      </c>
      <c r="H174" s="0" t="n">
        <v>0.2592</v>
      </c>
      <c r="I174" s="0" t="n">
        <v>83107.79</v>
      </c>
    </row>
    <row r="175" customFormat="false" ht="15" hidden="false" customHeight="false" outlineLevel="0" collapsed="false">
      <c r="A175" s="0" t="n">
        <v>174</v>
      </c>
      <c r="B175" s="0" t="n">
        <v>-114.35</v>
      </c>
      <c r="C175" s="0" t="n">
        <v>-9.36</v>
      </c>
      <c r="D175" s="0" t="n">
        <v>-68.32</v>
      </c>
      <c r="E175" s="0" t="n">
        <v>1540809.34</v>
      </c>
      <c r="F175" s="0" t="n">
        <v>92347.56</v>
      </c>
      <c r="G175" s="0" t="n">
        <v>1633156.9</v>
      </c>
      <c r="H175" s="0" t="n">
        <v>5.0942</v>
      </c>
      <c r="I175" s="0" t="n">
        <v>1633156.9</v>
      </c>
    </row>
    <row r="176" customFormat="false" ht="15" hidden="false" customHeight="false" outlineLevel="0" collapsed="false">
      <c r="A176" s="0" t="n">
        <v>175</v>
      </c>
      <c r="B176" s="0" t="n">
        <v>-52.04</v>
      </c>
      <c r="C176" s="0" t="n">
        <v>45.47</v>
      </c>
      <c r="D176" s="0" t="n">
        <v>12.03</v>
      </c>
      <c r="E176" s="0" t="n">
        <v>701171.52</v>
      </c>
      <c r="F176" s="0" t="n">
        <v>19123.89</v>
      </c>
      <c r="G176" s="0" t="n">
        <v>720295.4</v>
      </c>
      <c r="H176" s="0" t="n">
        <v>2.2468</v>
      </c>
      <c r="I176" s="0" t="n">
        <v>720295.4</v>
      </c>
    </row>
    <row r="177" customFormat="false" ht="15" hidden="false" customHeight="false" outlineLevel="0" collapsed="false">
      <c r="A177" s="0" t="n">
        <v>176</v>
      </c>
      <c r="B177" s="0" t="n">
        <v>-22.53</v>
      </c>
      <c r="C177" s="0" t="n">
        <v>20.77</v>
      </c>
      <c r="D177" s="0" t="n">
        <v>19.73</v>
      </c>
      <c r="E177" s="0" t="n">
        <v>303563.5</v>
      </c>
      <c r="F177" s="0" t="n">
        <v>3584.48</v>
      </c>
      <c r="G177" s="0" t="n">
        <v>307147.98</v>
      </c>
      <c r="H177" s="0" t="n">
        <v>0.9581</v>
      </c>
      <c r="I177" s="0" t="n">
        <v>307147.98</v>
      </c>
    </row>
    <row r="178" customFormat="false" ht="15" hidden="false" customHeight="false" outlineLevel="0" collapsed="false">
      <c r="A178" s="0" t="n">
        <v>177</v>
      </c>
      <c r="B178" s="0" t="n">
        <v>95.56</v>
      </c>
      <c r="C178" s="0" t="n">
        <v>21.17</v>
      </c>
      <c r="D178" s="0" t="n">
        <v>-4.92</v>
      </c>
      <c r="E178" s="0" t="n">
        <v>-1287724.78</v>
      </c>
      <c r="F178" s="0" t="n">
        <v>64502.08</v>
      </c>
      <c r="G178" s="0" t="n">
        <v>-1223222.69</v>
      </c>
      <c r="H178" s="0" t="n">
        <v>-3.8155</v>
      </c>
      <c r="I178" s="0" t="n">
        <v>1223222.69</v>
      </c>
    </row>
    <row r="179" customFormat="false" ht="15" hidden="false" customHeight="false" outlineLevel="0" collapsed="false">
      <c r="A179" s="0" t="n">
        <v>178</v>
      </c>
      <c r="B179" s="0" t="n">
        <v>-124.9</v>
      </c>
      <c r="C179" s="0" t="n">
        <v>-35.75</v>
      </c>
      <c r="D179" s="0" t="n">
        <v>40.97</v>
      </c>
      <c r="E179" s="0" t="n">
        <v>1683061.24</v>
      </c>
      <c r="F179" s="0" t="n">
        <v>110186.27</v>
      </c>
      <c r="G179" s="0" t="n">
        <v>1793247.51</v>
      </c>
      <c r="H179" s="0" t="n">
        <v>5.5935</v>
      </c>
      <c r="I179" s="0" t="n">
        <v>1793247.51</v>
      </c>
    </row>
    <row r="180" customFormat="false" ht="15" hidden="false" customHeight="false" outlineLevel="0" collapsed="false">
      <c r="A180" s="0" t="n">
        <v>179</v>
      </c>
      <c r="B180" s="0" t="n">
        <v>10.77</v>
      </c>
      <c r="C180" s="0" t="n">
        <v>-71.4</v>
      </c>
      <c r="D180" s="0" t="n">
        <v>13.13</v>
      </c>
      <c r="E180" s="0" t="n">
        <v>-145066.15</v>
      </c>
      <c r="F180" s="0" t="n">
        <v>818.58</v>
      </c>
      <c r="G180" s="0" t="n">
        <v>-144247.57</v>
      </c>
      <c r="H180" s="0" t="n">
        <v>-0.4499</v>
      </c>
      <c r="I180" s="0" t="n">
        <v>144247.57</v>
      </c>
    </row>
    <row r="181" customFormat="false" ht="15" hidden="false" customHeight="false" outlineLevel="0" collapsed="false">
      <c r="A181" s="0" t="n">
        <v>180</v>
      </c>
      <c r="B181" s="0" t="n">
        <v>99</v>
      </c>
      <c r="C181" s="0" t="n">
        <v>-2.48</v>
      </c>
      <c r="D181" s="0" t="n">
        <v>-1.82</v>
      </c>
      <c r="E181" s="0" t="n">
        <v>-1334082.9</v>
      </c>
      <c r="F181" s="0" t="n">
        <v>69229.83</v>
      </c>
      <c r="G181" s="0" t="n">
        <v>-1264853.07</v>
      </c>
      <c r="H181" s="0" t="n">
        <v>-3.9453</v>
      </c>
      <c r="I181" s="0" t="n">
        <v>1264853.07</v>
      </c>
    </row>
    <row r="182" customFormat="false" ht="15" hidden="false" customHeight="false" outlineLevel="0" collapsed="false">
      <c r="A182" s="0" t="n">
        <v>181</v>
      </c>
      <c r="B182" s="0" t="n">
        <v>26.35</v>
      </c>
      <c r="C182" s="0" t="n">
        <v>40.61</v>
      </c>
      <c r="D182" s="0" t="n">
        <v>-12.92</v>
      </c>
      <c r="E182" s="0" t="n">
        <v>-355074.11</v>
      </c>
      <c r="F182" s="0" t="n">
        <v>4904.17</v>
      </c>
      <c r="G182" s="0" t="n">
        <v>-350169.94</v>
      </c>
      <c r="H182" s="0" t="n">
        <v>-1.0923</v>
      </c>
      <c r="I182" s="0" t="n">
        <v>350169.94</v>
      </c>
    </row>
    <row r="183" customFormat="false" ht="15" hidden="false" customHeight="false" outlineLevel="0" collapsed="false">
      <c r="A183" s="0" t="n">
        <v>182</v>
      </c>
      <c r="B183" s="0" t="n">
        <v>-22.22</v>
      </c>
      <c r="C183" s="0" t="n">
        <v>0.2</v>
      </c>
      <c r="D183" s="0" t="n">
        <v>47.44</v>
      </c>
      <c r="E183" s="0" t="n">
        <v>299468.11</v>
      </c>
      <c r="F183" s="0" t="n">
        <v>3488.42</v>
      </c>
      <c r="G183" s="0" t="n">
        <v>302956.53</v>
      </c>
      <c r="H183" s="0" t="n">
        <v>0.945</v>
      </c>
      <c r="I183" s="0" t="n">
        <v>302956.53</v>
      </c>
    </row>
    <row r="184" customFormat="false" ht="15" hidden="false" customHeight="false" outlineLevel="0" collapsed="false">
      <c r="A184" s="0" t="n">
        <v>183</v>
      </c>
      <c r="B184" s="0" t="n">
        <v>15.98</v>
      </c>
      <c r="C184" s="0" t="n">
        <v>-71.93</v>
      </c>
      <c r="D184" s="0" t="n">
        <v>27.56</v>
      </c>
      <c r="E184" s="0" t="n">
        <v>-215329.75</v>
      </c>
      <c r="F184" s="0" t="n">
        <v>1803.58</v>
      </c>
      <c r="G184" s="0" t="n">
        <v>-213526.17</v>
      </c>
      <c r="H184" s="0" t="n">
        <v>-0.666</v>
      </c>
      <c r="I184" s="0" t="n">
        <v>213526.17</v>
      </c>
    </row>
    <row r="185" customFormat="false" ht="15" hidden="false" customHeight="false" outlineLevel="0" collapsed="false">
      <c r="A185" s="0" t="n">
        <v>184</v>
      </c>
      <c r="B185" s="0" t="n">
        <v>97.93</v>
      </c>
      <c r="C185" s="0" t="n">
        <v>-100.1</v>
      </c>
      <c r="D185" s="0" t="n">
        <v>37.95</v>
      </c>
      <c r="E185" s="0" t="n">
        <v>-1319648.62</v>
      </c>
      <c r="F185" s="0" t="n">
        <v>67739.85</v>
      </c>
      <c r="G185" s="0" t="n">
        <v>-1251908.76</v>
      </c>
      <c r="H185" s="0" t="n">
        <v>-3.905</v>
      </c>
      <c r="I185" s="0" t="n">
        <v>1251908.76</v>
      </c>
    </row>
    <row r="186" customFormat="false" ht="15" hidden="false" customHeight="false" outlineLevel="0" collapsed="false">
      <c r="A186" s="0" t="n">
        <v>185</v>
      </c>
      <c r="B186" s="0" t="n">
        <v>-193.98</v>
      </c>
      <c r="C186" s="0" t="n">
        <v>30.51</v>
      </c>
      <c r="D186" s="0" t="n">
        <v>12.38</v>
      </c>
      <c r="E186" s="0" t="n">
        <v>2613833.04</v>
      </c>
      <c r="F186" s="0" t="n">
        <v>265756.15</v>
      </c>
      <c r="G186" s="0" t="n">
        <v>2879589.19</v>
      </c>
      <c r="H186" s="0" t="n">
        <v>8.9821</v>
      </c>
      <c r="I186" s="0" t="n">
        <v>2879589.19</v>
      </c>
    </row>
    <row r="187" customFormat="false" ht="15" hidden="false" customHeight="false" outlineLevel="0" collapsed="false">
      <c r="A187" s="0" t="n">
        <v>186</v>
      </c>
      <c r="B187" s="0" t="n">
        <v>45.92</v>
      </c>
      <c r="C187" s="0" t="n">
        <v>-37.15</v>
      </c>
      <c r="D187" s="0" t="n">
        <v>-14.75</v>
      </c>
      <c r="E187" s="0" t="n">
        <v>-618772.18</v>
      </c>
      <c r="F187" s="0" t="n">
        <v>14893.24</v>
      </c>
      <c r="G187" s="0" t="n">
        <v>-603878.94</v>
      </c>
      <c r="H187" s="0" t="n">
        <v>-1.8836</v>
      </c>
      <c r="I187" s="0" t="n">
        <v>603878.94</v>
      </c>
    </row>
    <row r="188" customFormat="false" ht="15" hidden="false" customHeight="false" outlineLevel="0" collapsed="false">
      <c r="A188" s="0" t="n">
        <v>187</v>
      </c>
      <c r="B188" s="0" t="n">
        <v>-8.33</v>
      </c>
      <c r="C188" s="0" t="n">
        <v>20.58</v>
      </c>
      <c r="D188" s="0" t="n">
        <v>-20.21</v>
      </c>
      <c r="E188" s="0" t="n">
        <v>112303.07</v>
      </c>
      <c r="F188" s="0" t="n">
        <v>490.58</v>
      </c>
      <c r="G188" s="0" t="n">
        <v>112793.66</v>
      </c>
      <c r="H188" s="0" t="n">
        <v>0.3518</v>
      </c>
      <c r="I188" s="0" t="n">
        <v>112793.66</v>
      </c>
    </row>
    <row r="189" customFormat="false" ht="15" hidden="false" customHeight="false" outlineLevel="0" collapsed="false">
      <c r="A189" s="0" t="n">
        <v>188</v>
      </c>
      <c r="B189" s="0" t="n">
        <v>73.92</v>
      </c>
      <c r="C189" s="0" t="n">
        <v>-68.05</v>
      </c>
      <c r="D189" s="0" t="n">
        <v>39.66</v>
      </c>
      <c r="E189" s="0" t="n">
        <v>-996123.39</v>
      </c>
      <c r="F189" s="0" t="n">
        <v>38597.03</v>
      </c>
      <c r="G189" s="0" t="n">
        <v>-957526.36</v>
      </c>
      <c r="H189" s="0" t="n">
        <v>-2.9867</v>
      </c>
      <c r="I189" s="0" t="n">
        <v>957526.36</v>
      </c>
    </row>
    <row r="190" customFormat="false" ht="15" hidden="false" customHeight="false" outlineLevel="0" collapsed="false">
      <c r="A190" s="0" t="n">
        <v>189</v>
      </c>
      <c r="B190" s="0" t="n">
        <v>-18.5</v>
      </c>
      <c r="C190" s="0" t="n">
        <v>-4.38</v>
      </c>
      <c r="D190" s="0" t="n">
        <v>37.96</v>
      </c>
      <c r="E190" s="0" t="n">
        <v>249301.1</v>
      </c>
      <c r="F190" s="0" t="n">
        <v>2417.55</v>
      </c>
      <c r="G190" s="0" t="n">
        <v>251718.65</v>
      </c>
      <c r="H190" s="0" t="n">
        <v>0.7852</v>
      </c>
      <c r="I190" s="0" t="n">
        <v>251718.65</v>
      </c>
    </row>
    <row r="191" customFormat="false" ht="15" hidden="false" customHeight="false" outlineLevel="0" collapsed="false">
      <c r="A191" s="0" t="n">
        <v>190</v>
      </c>
      <c r="B191" s="0" t="n">
        <v>18.39</v>
      </c>
      <c r="C191" s="0" t="n">
        <v>-27.47</v>
      </c>
      <c r="D191" s="0" t="n">
        <v>-13.99</v>
      </c>
      <c r="E191" s="0" t="n">
        <v>-247832.86</v>
      </c>
      <c r="F191" s="0" t="n">
        <v>2389.16</v>
      </c>
      <c r="G191" s="0" t="n">
        <v>-245443.7</v>
      </c>
      <c r="H191" s="0" t="n">
        <v>-0.7656</v>
      </c>
      <c r="I191" s="0" t="n">
        <v>245443.7</v>
      </c>
    </row>
    <row r="192" customFormat="false" ht="15" hidden="false" customHeight="false" outlineLevel="0" collapsed="false">
      <c r="A192" s="0" t="n">
        <v>191</v>
      </c>
      <c r="B192" s="0" t="n">
        <v>94.45</v>
      </c>
      <c r="C192" s="0" t="n">
        <v>29.55</v>
      </c>
      <c r="D192" s="0" t="n">
        <v>-4.34</v>
      </c>
      <c r="E192" s="0" t="n">
        <v>-1272769.3</v>
      </c>
      <c r="F192" s="0" t="n">
        <v>63012.54</v>
      </c>
      <c r="G192" s="0" t="n">
        <v>-1209756.76</v>
      </c>
      <c r="H192" s="0" t="n">
        <v>-3.7735</v>
      </c>
      <c r="I192" s="0" t="n">
        <v>1209756.76</v>
      </c>
    </row>
    <row r="193" customFormat="false" ht="15" hidden="false" customHeight="false" outlineLevel="0" collapsed="false">
      <c r="A193" s="0" t="n">
        <v>192</v>
      </c>
      <c r="B193" s="0" t="n">
        <v>194.88</v>
      </c>
      <c r="C193" s="0" t="n">
        <v>66</v>
      </c>
      <c r="D193" s="0" t="n">
        <v>12.81</v>
      </c>
      <c r="E193" s="0" t="n">
        <v>-2626030.59</v>
      </c>
      <c r="F193" s="0" t="n">
        <v>268242.26</v>
      </c>
      <c r="G193" s="0" t="n">
        <v>-2357788.33</v>
      </c>
      <c r="H193" s="0" t="n">
        <v>-7.3544</v>
      </c>
      <c r="I193" s="0" t="n">
        <v>2357788.33</v>
      </c>
    </row>
    <row r="194" customFormat="false" ht="15" hidden="false" customHeight="false" outlineLevel="0" collapsed="false">
      <c r="A194" s="0" t="n">
        <v>193</v>
      </c>
      <c r="B194" s="0" t="n">
        <v>-45.92</v>
      </c>
      <c r="C194" s="0" t="n">
        <v>-16.77</v>
      </c>
      <c r="D194" s="0" t="n">
        <v>17.69</v>
      </c>
      <c r="E194" s="0" t="n">
        <v>618716.66</v>
      </c>
      <c r="F194" s="0" t="n">
        <v>14890.57</v>
      </c>
      <c r="G194" s="0" t="n">
        <v>633607.23</v>
      </c>
      <c r="H194" s="0" t="n">
        <v>1.9764</v>
      </c>
      <c r="I194" s="0" t="n">
        <v>633607.23</v>
      </c>
    </row>
    <row r="195" customFormat="false" ht="15" hidden="false" customHeight="false" outlineLevel="0" collapsed="false">
      <c r="A195" s="0" t="n">
        <v>194</v>
      </c>
      <c r="B195" s="0" t="n">
        <v>-15.92</v>
      </c>
      <c r="C195" s="0" t="n">
        <v>-7.69</v>
      </c>
      <c r="D195" s="0" t="n">
        <v>-2.07</v>
      </c>
      <c r="E195" s="0" t="n">
        <v>214486.82</v>
      </c>
      <c r="F195" s="0" t="n">
        <v>1789.49</v>
      </c>
      <c r="G195" s="0" t="n">
        <v>216276.31</v>
      </c>
      <c r="H195" s="0" t="n">
        <v>0.6746</v>
      </c>
      <c r="I195" s="0" t="n">
        <v>216276.31</v>
      </c>
    </row>
    <row r="196" customFormat="false" ht="15" hidden="false" customHeight="false" outlineLevel="0" collapsed="false">
      <c r="A196" s="0" t="n">
        <v>195</v>
      </c>
      <c r="B196" s="0" t="n">
        <v>-170.04</v>
      </c>
      <c r="C196" s="0" t="n">
        <v>-13.92</v>
      </c>
      <c r="D196" s="0" t="n">
        <v>50.61</v>
      </c>
      <c r="E196" s="0" t="n">
        <v>2291227.4</v>
      </c>
      <c r="F196" s="0" t="n">
        <v>204203.89</v>
      </c>
      <c r="G196" s="0" t="n">
        <v>2495431.29</v>
      </c>
      <c r="H196" s="0" t="n">
        <v>7.7838</v>
      </c>
      <c r="I196" s="0" t="n">
        <v>2495431.29</v>
      </c>
    </row>
    <row r="197" customFormat="false" ht="15" hidden="false" customHeight="false" outlineLevel="0" collapsed="false">
      <c r="A197" s="0" t="n">
        <v>196</v>
      </c>
      <c r="B197" s="0" t="n">
        <v>-81.61</v>
      </c>
      <c r="C197" s="0" t="n">
        <v>-35.63</v>
      </c>
      <c r="D197" s="0" t="n">
        <v>0.79</v>
      </c>
      <c r="E197" s="0" t="n">
        <v>1099745.92</v>
      </c>
      <c r="F197" s="0" t="n">
        <v>47044.88</v>
      </c>
      <c r="G197" s="0" t="n">
        <v>1146790.8</v>
      </c>
      <c r="H197" s="0" t="n">
        <v>3.5771</v>
      </c>
      <c r="I197" s="0" t="n">
        <v>1146790.8</v>
      </c>
    </row>
    <row r="198" customFormat="false" ht="15" hidden="false" customHeight="false" outlineLevel="0" collapsed="false">
      <c r="A198" s="0" t="n">
        <v>197</v>
      </c>
      <c r="B198" s="0" t="n">
        <v>70.12</v>
      </c>
      <c r="C198" s="0" t="n">
        <v>115.63</v>
      </c>
      <c r="D198" s="0" t="n">
        <v>9.16</v>
      </c>
      <c r="E198" s="0" t="n">
        <v>-944834.16</v>
      </c>
      <c r="F198" s="0" t="n">
        <v>34724.72</v>
      </c>
      <c r="G198" s="0" t="n">
        <v>-910109.44</v>
      </c>
      <c r="H198" s="0" t="n">
        <v>-2.8388</v>
      </c>
      <c r="I198" s="0" t="n">
        <v>910109.44</v>
      </c>
    </row>
    <row r="199" customFormat="false" ht="15" hidden="false" customHeight="false" outlineLevel="0" collapsed="false">
      <c r="A199" s="0" t="n">
        <v>198</v>
      </c>
      <c r="B199" s="0" t="n">
        <v>-72.52</v>
      </c>
      <c r="C199" s="0" t="n">
        <v>-1.1</v>
      </c>
      <c r="D199" s="0" t="n">
        <v>-29.43</v>
      </c>
      <c r="E199" s="0" t="n">
        <v>977157.21</v>
      </c>
      <c r="F199" s="0" t="n">
        <v>37141.25</v>
      </c>
      <c r="G199" s="0" t="n">
        <v>1014298.46</v>
      </c>
      <c r="H199" s="0" t="n">
        <v>3.1638</v>
      </c>
      <c r="I199" s="0" t="n">
        <v>1014298.46</v>
      </c>
    </row>
    <row r="200" customFormat="false" ht="15" hidden="false" customHeight="false" outlineLevel="0" collapsed="false">
      <c r="A200" s="0" t="n">
        <v>199</v>
      </c>
      <c r="B200" s="0" t="n">
        <v>-61.8</v>
      </c>
      <c r="C200" s="0" t="n">
        <v>14.23</v>
      </c>
      <c r="D200" s="0" t="n">
        <v>12.01</v>
      </c>
      <c r="E200" s="0" t="n">
        <v>832693.79</v>
      </c>
      <c r="F200" s="0" t="n">
        <v>26971.08</v>
      </c>
      <c r="G200" s="0" t="n">
        <v>859664.86</v>
      </c>
      <c r="H200" s="0" t="n">
        <v>2.6815</v>
      </c>
      <c r="I200" s="0" t="n">
        <v>859664.86</v>
      </c>
    </row>
    <row r="201" customFormat="false" ht="15" hidden="false" customHeight="false" outlineLevel="0" collapsed="false">
      <c r="A201" s="0" t="n">
        <v>200</v>
      </c>
      <c r="B201" s="0" t="n">
        <v>182.08</v>
      </c>
      <c r="C201" s="0" t="n">
        <v>-4.72</v>
      </c>
      <c r="D201" s="0" t="n">
        <v>-19.23</v>
      </c>
      <c r="E201" s="0" t="n">
        <v>-2453550.48</v>
      </c>
      <c r="F201" s="0" t="n">
        <v>234162.65</v>
      </c>
      <c r="G201" s="0" t="n">
        <v>-2219387.83</v>
      </c>
      <c r="H201" s="0" t="n">
        <v>-6.9227</v>
      </c>
      <c r="I201" s="0" t="n">
        <v>2219387.83</v>
      </c>
    </row>
    <row r="202" customFormat="false" ht="15" hidden="false" customHeight="false" outlineLevel="0" collapsed="false">
      <c r="A202" s="0" t="n">
        <v>201</v>
      </c>
      <c r="B202" s="0" t="n">
        <v>75.13</v>
      </c>
      <c r="C202" s="0" t="n">
        <v>80.32</v>
      </c>
      <c r="D202" s="0" t="n">
        <v>80.66</v>
      </c>
      <c r="E202" s="0" t="n">
        <v>-1012427.5</v>
      </c>
      <c r="F202" s="0" t="n">
        <v>39870.85</v>
      </c>
      <c r="G202" s="0" t="n">
        <v>-972556.65</v>
      </c>
      <c r="H202" s="0" t="n">
        <v>-3.0336</v>
      </c>
      <c r="I202" s="0" t="n">
        <v>972556.65</v>
      </c>
    </row>
    <row r="203" customFormat="false" ht="15" hidden="false" customHeight="false" outlineLevel="0" collapsed="false">
      <c r="A203" s="0" t="n">
        <v>202</v>
      </c>
      <c r="B203" s="0" t="n">
        <v>49.14</v>
      </c>
      <c r="C203" s="0" t="n">
        <v>4.99</v>
      </c>
      <c r="D203" s="0" t="n">
        <v>32.72</v>
      </c>
      <c r="E203" s="0" t="n">
        <v>-662200.58</v>
      </c>
      <c r="F203" s="0" t="n">
        <v>17057.16</v>
      </c>
      <c r="G203" s="0" t="n">
        <v>-645143.42</v>
      </c>
      <c r="H203" s="0" t="n">
        <v>-2.0123</v>
      </c>
      <c r="I203" s="0" t="n">
        <v>645143.42</v>
      </c>
    </row>
    <row r="204" customFormat="false" ht="15" hidden="false" customHeight="false" outlineLevel="0" collapsed="false">
      <c r="A204" s="0" t="n">
        <v>203</v>
      </c>
      <c r="B204" s="0" t="n">
        <v>1.4</v>
      </c>
      <c r="C204" s="0" t="n">
        <v>66.12</v>
      </c>
      <c r="D204" s="0" t="n">
        <v>-7.64</v>
      </c>
      <c r="E204" s="0" t="n">
        <v>-18832.8</v>
      </c>
      <c r="F204" s="0" t="n">
        <v>13.8</v>
      </c>
      <c r="G204" s="0" t="n">
        <v>-18819.01</v>
      </c>
      <c r="H204" s="0" t="n">
        <v>-0.0587</v>
      </c>
      <c r="I204" s="0" t="n">
        <v>18819.01</v>
      </c>
    </row>
    <row r="205" customFormat="false" ht="15" hidden="false" customHeight="false" outlineLevel="0" collapsed="false">
      <c r="A205" s="0" t="n">
        <v>204</v>
      </c>
      <c r="B205" s="0" t="n">
        <v>-33.82</v>
      </c>
      <c r="C205" s="0" t="n">
        <v>-99.35</v>
      </c>
      <c r="D205" s="0" t="n">
        <v>11.81</v>
      </c>
      <c r="E205" s="0" t="n">
        <v>455687.08</v>
      </c>
      <c r="F205" s="0" t="n">
        <v>8077.2</v>
      </c>
      <c r="G205" s="0" t="n">
        <v>463764.28</v>
      </c>
      <c r="H205" s="0" t="n">
        <v>1.4466</v>
      </c>
      <c r="I205" s="0" t="n">
        <v>463764.28</v>
      </c>
    </row>
    <row r="206" customFormat="false" ht="15" hidden="false" customHeight="false" outlineLevel="0" collapsed="false">
      <c r="A206" s="0" t="n">
        <v>205</v>
      </c>
      <c r="B206" s="0" t="n">
        <v>99.37</v>
      </c>
      <c r="C206" s="0" t="n">
        <v>-8.06</v>
      </c>
      <c r="D206" s="0" t="n">
        <v>6.94</v>
      </c>
      <c r="E206" s="0" t="n">
        <v>-1339060.3</v>
      </c>
      <c r="F206" s="0" t="n">
        <v>69747.38</v>
      </c>
      <c r="G206" s="0" t="n">
        <v>-1269312.92</v>
      </c>
      <c r="H206" s="0" t="n">
        <v>-3.9593</v>
      </c>
      <c r="I206" s="0" t="n">
        <v>1269312.92</v>
      </c>
    </row>
    <row r="207" customFormat="false" ht="15" hidden="false" customHeight="false" outlineLevel="0" collapsed="false">
      <c r="A207" s="0" t="n">
        <v>206</v>
      </c>
      <c r="B207" s="0" t="n">
        <v>95.6</v>
      </c>
      <c r="C207" s="0" t="n">
        <v>-59.75</v>
      </c>
      <c r="D207" s="0" t="n">
        <v>18.75</v>
      </c>
      <c r="E207" s="0" t="n">
        <v>-1288165.78</v>
      </c>
      <c r="F207" s="0" t="n">
        <v>64546.27</v>
      </c>
      <c r="G207" s="0" t="n">
        <v>-1223619.51</v>
      </c>
      <c r="H207" s="0" t="n">
        <v>-3.8167</v>
      </c>
      <c r="I207" s="0" t="n">
        <v>1223619.51</v>
      </c>
    </row>
    <row r="208" customFormat="false" ht="15" hidden="false" customHeight="false" outlineLevel="0" collapsed="false">
      <c r="A208" s="0" t="n">
        <v>207</v>
      </c>
      <c r="B208" s="0" t="n">
        <v>114.4</v>
      </c>
      <c r="C208" s="0" t="n">
        <v>28.27</v>
      </c>
      <c r="D208" s="0" t="n">
        <v>65.7</v>
      </c>
      <c r="E208" s="0" t="n">
        <v>-1541515.38</v>
      </c>
      <c r="F208" s="0" t="n">
        <v>92432.21</v>
      </c>
      <c r="G208" s="0" t="n">
        <v>-1449083.17</v>
      </c>
      <c r="H208" s="0" t="n">
        <v>-4.52</v>
      </c>
      <c r="I208" s="0" t="n">
        <v>1449083.17</v>
      </c>
    </row>
    <row r="209" customFormat="false" ht="15" hidden="false" customHeight="false" outlineLevel="0" collapsed="false">
      <c r="A209" s="0" t="n">
        <v>208</v>
      </c>
      <c r="B209" s="0" t="n">
        <v>74.38</v>
      </c>
      <c r="C209" s="0" t="n">
        <v>-45.99</v>
      </c>
      <c r="D209" s="0" t="n">
        <v>5.1</v>
      </c>
      <c r="E209" s="0" t="n">
        <v>-1002317.45</v>
      </c>
      <c r="F209" s="0" t="n">
        <v>39078.53</v>
      </c>
      <c r="G209" s="0" t="n">
        <v>-963238.92</v>
      </c>
      <c r="H209" s="0" t="n">
        <v>-3.0045</v>
      </c>
      <c r="I209" s="0" t="n">
        <v>963238.92</v>
      </c>
    </row>
    <row r="210" customFormat="false" ht="15" hidden="false" customHeight="false" outlineLevel="0" collapsed="false">
      <c r="A210" s="0" t="n">
        <v>209</v>
      </c>
      <c r="B210" s="0" t="n">
        <v>-116.99</v>
      </c>
      <c r="C210" s="0" t="n">
        <v>-46.19</v>
      </c>
      <c r="D210" s="0" t="n">
        <v>15.21</v>
      </c>
      <c r="E210" s="0" t="n">
        <v>1576482.38</v>
      </c>
      <c r="F210" s="0" t="n">
        <v>96673.15</v>
      </c>
      <c r="G210" s="0" t="n">
        <v>1673155.53</v>
      </c>
      <c r="H210" s="0" t="n">
        <v>5.2189</v>
      </c>
      <c r="I210" s="0" t="n">
        <v>1673155.53</v>
      </c>
    </row>
    <row r="211" customFormat="false" ht="15" hidden="false" customHeight="false" outlineLevel="0" collapsed="false">
      <c r="A211" s="0" t="n">
        <v>210</v>
      </c>
      <c r="B211" s="0" t="n">
        <v>-148.85</v>
      </c>
      <c r="C211" s="0" t="n">
        <v>1.9</v>
      </c>
      <c r="D211" s="0" t="n">
        <v>-2.89</v>
      </c>
      <c r="E211" s="0" t="n">
        <v>2005778.69</v>
      </c>
      <c r="F211" s="0" t="n">
        <v>156492.55</v>
      </c>
      <c r="G211" s="0" t="n">
        <v>2162271.23</v>
      </c>
      <c r="H211" s="0" t="n">
        <v>6.7446</v>
      </c>
      <c r="I211" s="0" t="n">
        <v>2162271.23</v>
      </c>
    </row>
    <row r="212" customFormat="false" ht="15" hidden="false" customHeight="false" outlineLevel="0" collapsed="false">
      <c r="A212" s="0" t="n">
        <v>211</v>
      </c>
      <c r="B212" s="0" t="n">
        <v>-97.89</v>
      </c>
      <c r="C212" s="0" t="n">
        <v>-1.4</v>
      </c>
      <c r="D212" s="0" t="n">
        <v>44.3</v>
      </c>
      <c r="E212" s="0" t="n">
        <v>1319113.99</v>
      </c>
      <c r="F212" s="0" t="n">
        <v>67684.98</v>
      </c>
      <c r="G212" s="0" t="n">
        <v>1386798.96</v>
      </c>
      <c r="H212" s="0" t="n">
        <v>4.3257</v>
      </c>
      <c r="I212" s="0" t="n">
        <v>1386798.96</v>
      </c>
    </row>
    <row r="213" customFormat="false" ht="15" hidden="false" customHeight="false" outlineLevel="0" collapsed="false">
      <c r="A213" s="0" t="n">
        <v>212</v>
      </c>
      <c r="B213" s="0" t="n">
        <v>-21</v>
      </c>
      <c r="C213" s="0" t="n">
        <v>71.16</v>
      </c>
      <c r="D213" s="0" t="n">
        <v>46.77</v>
      </c>
      <c r="E213" s="0" t="n">
        <v>282909.97</v>
      </c>
      <c r="F213" s="0" t="n">
        <v>3113.32</v>
      </c>
      <c r="G213" s="0" t="n">
        <v>286023.3</v>
      </c>
      <c r="H213" s="0" t="n">
        <v>0.8922</v>
      </c>
      <c r="I213" s="0" t="n">
        <v>286023.3</v>
      </c>
    </row>
    <row r="214" customFormat="false" ht="15" hidden="false" customHeight="false" outlineLevel="0" collapsed="false">
      <c r="A214" s="0" t="n">
        <v>213</v>
      </c>
      <c r="B214" s="0" t="n">
        <v>60.79</v>
      </c>
      <c r="C214" s="0" t="n">
        <v>8.03</v>
      </c>
      <c r="D214" s="0" t="n">
        <v>16.87</v>
      </c>
      <c r="E214" s="0" t="n">
        <v>-819157.24</v>
      </c>
      <c r="F214" s="0" t="n">
        <v>26101.3</v>
      </c>
      <c r="G214" s="0" t="n">
        <v>-793055.93</v>
      </c>
      <c r="H214" s="0" t="n">
        <v>-2.4737</v>
      </c>
      <c r="I214" s="0" t="n">
        <v>793055.93</v>
      </c>
    </row>
    <row r="215" customFormat="false" ht="15" hidden="false" customHeight="false" outlineLevel="0" collapsed="false">
      <c r="A215" s="0" t="n">
        <v>214</v>
      </c>
      <c r="B215" s="0" t="n">
        <v>102.07</v>
      </c>
      <c r="C215" s="0" t="n">
        <v>-29.86</v>
      </c>
      <c r="D215" s="0" t="n">
        <v>28.55</v>
      </c>
      <c r="E215" s="0" t="n">
        <v>-1375340.4</v>
      </c>
      <c r="F215" s="0" t="n">
        <v>73578.01</v>
      </c>
      <c r="G215" s="0" t="n">
        <v>-1301762.39</v>
      </c>
      <c r="H215" s="0" t="n">
        <v>-4.0605</v>
      </c>
      <c r="I215" s="0" t="n">
        <v>1301762.39</v>
      </c>
    </row>
    <row r="216" customFormat="false" ht="15" hidden="false" customHeight="false" outlineLevel="0" collapsed="false">
      <c r="A216" s="0" t="n">
        <v>215</v>
      </c>
      <c r="B216" s="0" t="n">
        <v>133.08</v>
      </c>
      <c r="C216" s="0" t="n">
        <v>42.02</v>
      </c>
      <c r="D216" s="0" t="n">
        <v>-21.26</v>
      </c>
      <c r="E216" s="0" t="n">
        <v>-1793307.29</v>
      </c>
      <c r="F216" s="0" t="n">
        <v>125094.17</v>
      </c>
      <c r="G216" s="0" t="n">
        <v>-1668213.12</v>
      </c>
      <c r="H216" s="0" t="n">
        <v>-5.2035</v>
      </c>
      <c r="I216" s="0" t="n">
        <v>1668213.12</v>
      </c>
    </row>
    <row r="217" customFormat="false" ht="15" hidden="false" customHeight="false" outlineLevel="0" collapsed="false">
      <c r="A217" s="0" t="n">
        <v>216</v>
      </c>
      <c r="B217" s="0" t="n">
        <v>31.77</v>
      </c>
      <c r="C217" s="0" t="n">
        <v>-53.65</v>
      </c>
      <c r="D217" s="0" t="n">
        <v>76.66</v>
      </c>
      <c r="E217" s="0" t="n">
        <v>-428130.33</v>
      </c>
      <c r="F217" s="0" t="n">
        <v>7129.84</v>
      </c>
      <c r="G217" s="0" t="n">
        <v>-421000.49</v>
      </c>
      <c r="H217" s="0" t="n">
        <v>-1.3132</v>
      </c>
      <c r="I217" s="0" t="n">
        <v>421000.49</v>
      </c>
    </row>
    <row r="218" customFormat="false" ht="15" hidden="false" customHeight="false" outlineLevel="0" collapsed="false">
      <c r="A218" s="0" t="n">
        <v>217</v>
      </c>
      <c r="B218" s="0" t="n">
        <v>-269.28</v>
      </c>
      <c r="C218" s="0" t="n">
        <v>0.67</v>
      </c>
      <c r="D218" s="0" t="n">
        <v>-5.49</v>
      </c>
      <c r="E218" s="0" t="n">
        <v>3628586.76</v>
      </c>
      <c r="F218" s="0" t="n">
        <v>512156.46</v>
      </c>
      <c r="G218" s="0" t="n">
        <v>4140743.21</v>
      </c>
      <c r="H218" s="0" t="n">
        <v>12.9159</v>
      </c>
      <c r="I218" s="0" t="n">
        <v>4140743.21</v>
      </c>
    </row>
    <row r="219" customFormat="false" ht="15" hidden="false" customHeight="false" outlineLevel="0" collapsed="false">
      <c r="A219" s="0" t="n">
        <v>218</v>
      </c>
      <c r="B219" s="0" t="n">
        <v>92.79</v>
      </c>
      <c r="C219" s="0" t="n">
        <v>-97.71</v>
      </c>
      <c r="D219" s="0" t="n">
        <v>27.55</v>
      </c>
      <c r="E219" s="0" t="n">
        <v>-1250283.29</v>
      </c>
      <c r="F219" s="0" t="n">
        <v>60805.73</v>
      </c>
      <c r="G219" s="0" t="n">
        <v>-1189477.56</v>
      </c>
      <c r="H219" s="0" t="n">
        <v>-3.7102</v>
      </c>
      <c r="I219" s="0" t="n">
        <v>1189477.56</v>
      </c>
    </row>
    <row r="220" customFormat="false" ht="15" hidden="false" customHeight="false" outlineLevel="0" collapsed="false">
      <c r="A220" s="0" t="n">
        <v>219</v>
      </c>
      <c r="B220" s="0" t="n">
        <v>-15.6</v>
      </c>
      <c r="C220" s="0" t="n">
        <v>93.74</v>
      </c>
      <c r="D220" s="0" t="n">
        <v>32.42</v>
      </c>
      <c r="E220" s="0" t="n">
        <v>210264.79</v>
      </c>
      <c r="F220" s="0" t="n">
        <v>1719.73</v>
      </c>
      <c r="G220" s="0" t="n">
        <v>211984.52</v>
      </c>
      <c r="H220" s="0" t="n">
        <v>0.6612</v>
      </c>
      <c r="I220" s="0" t="n">
        <v>211984.52</v>
      </c>
    </row>
    <row r="221" customFormat="false" ht="15" hidden="false" customHeight="false" outlineLevel="0" collapsed="false">
      <c r="A221" s="0" t="n">
        <v>220</v>
      </c>
      <c r="B221" s="0" t="n">
        <v>-53.61</v>
      </c>
      <c r="C221" s="0" t="n">
        <v>-27.61</v>
      </c>
      <c r="D221" s="0" t="n">
        <v>7.07</v>
      </c>
      <c r="E221" s="0" t="n">
        <v>722339.03</v>
      </c>
      <c r="F221" s="0" t="n">
        <v>20295.97</v>
      </c>
      <c r="G221" s="0" t="n">
        <v>742634.99</v>
      </c>
      <c r="H221" s="0" t="n">
        <v>2.3164</v>
      </c>
      <c r="I221" s="0" t="n">
        <v>742634.99</v>
      </c>
    </row>
    <row r="222" customFormat="false" ht="15" hidden="false" customHeight="false" outlineLevel="0" collapsed="false">
      <c r="A222" s="0" t="n">
        <v>221</v>
      </c>
      <c r="B222" s="0" t="n">
        <v>-9.58</v>
      </c>
      <c r="C222" s="0" t="n">
        <v>-57.93</v>
      </c>
      <c r="D222" s="0" t="n">
        <v>36.35</v>
      </c>
      <c r="E222" s="0" t="n">
        <v>129105.23</v>
      </c>
      <c r="F222" s="0" t="n">
        <v>648.36</v>
      </c>
      <c r="G222" s="0" t="n">
        <v>129753.58</v>
      </c>
      <c r="H222" s="0" t="n">
        <v>0.4047</v>
      </c>
      <c r="I222" s="0" t="n">
        <v>129753.58</v>
      </c>
    </row>
    <row r="223" customFormat="false" ht="15" hidden="false" customHeight="false" outlineLevel="0" collapsed="false">
      <c r="A223" s="0" t="n">
        <v>222</v>
      </c>
      <c r="B223" s="0" t="n">
        <v>-39.32</v>
      </c>
      <c r="C223" s="0" t="n">
        <v>62.95</v>
      </c>
      <c r="D223" s="0" t="n">
        <v>-19.89</v>
      </c>
      <c r="E223" s="0" t="n">
        <v>529861.6</v>
      </c>
      <c r="F223" s="0" t="n">
        <v>10920.75</v>
      </c>
      <c r="G223" s="0" t="n">
        <v>540782.35</v>
      </c>
      <c r="H223" s="0" t="n">
        <v>1.6868</v>
      </c>
      <c r="I223" s="0" t="n">
        <v>540782.35</v>
      </c>
    </row>
    <row r="224" customFormat="false" ht="15" hidden="false" customHeight="false" outlineLevel="0" collapsed="false">
      <c r="A224" s="0" t="n">
        <v>223</v>
      </c>
      <c r="B224" s="0" t="n">
        <v>-60.17</v>
      </c>
      <c r="C224" s="0" t="n">
        <v>11.91</v>
      </c>
      <c r="D224" s="0" t="n">
        <v>17.97</v>
      </c>
      <c r="E224" s="0" t="n">
        <v>810748.81</v>
      </c>
      <c r="F224" s="0" t="n">
        <v>25568.21</v>
      </c>
      <c r="G224" s="0" t="n">
        <v>836317.02</v>
      </c>
      <c r="H224" s="0" t="n">
        <v>2.6087</v>
      </c>
      <c r="I224" s="0" t="n">
        <v>836317.02</v>
      </c>
    </row>
    <row r="225" customFormat="false" ht="15" hidden="false" customHeight="false" outlineLevel="0" collapsed="false">
      <c r="A225" s="0" t="n">
        <v>224</v>
      </c>
      <c r="B225" s="0" t="n">
        <v>21.38</v>
      </c>
      <c r="C225" s="0" t="n">
        <v>-29.36</v>
      </c>
      <c r="D225" s="0" t="n">
        <v>3.33</v>
      </c>
      <c r="E225" s="0" t="n">
        <v>-288136.33</v>
      </c>
      <c r="F225" s="0" t="n">
        <v>3229.41</v>
      </c>
      <c r="G225" s="0" t="n">
        <v>-284906.91</v>
      </c>
      <c r="H225" s="0" t="n">
        <v>-0.8887</v>
      </c>
      <c r="I225" s="0" t="n">
        <v>284906.91</v>
      </c>
    </row>
    <row r="226" customFormat="false" ht="15" hidden="false" customHeight="false" outlineLevel="0" collapsed="false">
      <c r="A226" s="0" t="n">
        <v>225</v>
      </c>
      <c r="B226" s="0" t="n">
        <v>-48.61</v>
      </c>
      <c r="C226" s="0" t="n">
        <v>5.09</v>
      </c>
      <c r="D226" s="0" t="n">
        <v>27.73</v>
      </c>
      <c r="E226" s="0" t="n">
        <v>655000.59</v>
      </c>
      <c r="F226" s="0" t="n">
        <v>16688.26</v>
      </c>
      <c r="G226" s="0" t="n">
        <v>671688.85</v>
      </c>
      <c r="H226" s="0" t="n">
        <v>2.0951</v>
      </c>
      <c r="I226" s="0" t="n">
        <v>671688.85</v>
      </c>
    </row>
    <row r="227" customFormat="false" ht="15" hidden="false" customHeight="false" outlineLevel="0" collapsed="false">
      <c r="A227" s="0" t="n">
        <v>226</v>
      </c>
      <c r="B227" s="0" t="n">
        <v>-71.53</v>
      </c>
      <c r="C227" s="0" t="n">
        <v>-139.89</v>
      </c>
      <c r="D227" s="0" t="n">
        <v>32.31</v>
      </c>
      <c r="E227" s="0" t="n">
        <v>963910.81</v>
      </c>
      <c r="F227" s="0" t="n">
        <v>36141.1</v>
      </c>
      <c r="G227" s="0" t="n">
        <v>1000051.9</v>
      </c>
      <c r="H227" s="0" t="n">
        <v>3.1194</v>
      </c>
      <c r="I227" s="0" t="n">
        <v>1000051.9</v>
      </c>
    </row>
    <row r="228" customFormat="false" ht="15" hidden="false" customHeight="false" outlineLevel="0" collapsed="false">
      <c r="A228" s="0" t="n">
        <v>227</v>
      </c>
      <c r="B228" s="0" t="n">
        <v>-102.65</v>
      </c>
      <c r="C228" s="0" t="n">
        <v>-20.64</v>
      </c>
      <c r="D228" s="0" t="n">
        <v>36.39</v>
      </c>
      <c r="E228" s="0" t="n">
        <v>1383192.71</v>
      </c>
      <c r="F228" s="0" t="n">
        <v>74420.57</v>
      </c>
      <c r="G228" s="0" t="n">
        <v>1457613.29</v>
      </c>
      <c r="H228" s="0" t="n">
        <v>4.5466</v>
      </c>
      <c r="I228" s="0" t="n">
        <v>1457613.29</v>
      </c>
    </row>
    <row r="229" customFormat="false" ht="15" hidden="false" customHeight="false" outlineLevel="0" collapsed="false">
      <c r="A229" s="0" t="n">
        <v>228</v>
      </c>
      <c r="B229" s="0" t="n">
        <v>103.58</v>
      </c>
      <c r="C229" s="0" t="n">
        <v>27.72</v>
      </c>
      <c r="D229" s="0" t="n">
        <v>22.31</v>
      </c>
      <c r="E229" s="0" t="n">
        <v>-1395797.47</v>
      </c>
      <c r="F229" s="0" t="n">
        <v>75783.11</v>
      </c>
      <c r="G229" s="0" t="n">
        <v>-1320014.36</v>
      </c>
      <c r="H229" s="0" t="n">
        <v>-4.1174</v>
      </c>
      <c r="I229" s="0" t="n">
        <v>1320014.36</v>
      </c>
    </row>
    <row r="230" customFormat="false" ht="15" hidden="false" customHeight="false" outlineLevel="0" collapsed="false">
      <c r="A230" s="0" t="n">
        <v>229</v>
      </c>
      <c r="B230" s="0" t="n">
        <v>23.43</v>
      </c>
      <c r="C230" s="0" t="n">
        <v>39.16</v>
      </c>
      <c r="D230" s="0" t="n">
        <v>25.41</v>
      </c>
      <c r="E230" s="0" t="n">
        <v>-315777.19</v>
      </c>
      <c r="F230" s="0" t="n">
        <v>3878.73</v>
      </c>
      <c r="G230" s="0" t="n">
        <v>-311898.46</v>
      </c>
      <c r="H230" s="0" t="n">
        <v>-0.9729</v>
      </c>
      <c r="I230" s="0" t="n">
        <v>311898.46</v>
      </c>
    </row>
    <row r="231" customFormat="false" ht="15" hidden="false" customHeight="false" outlineLevel="0" collapsed="false">
      <c r="A231" s="0" t="n">
        <v>230</v>
      </c>
      <c r="B231" s="0" t="n">
        <v>-143.33</v>
      </c>
      <c r="C231" s="0" t="n">
        <v>28.34</v>
      </c>
      <c r="D231" s="0" t="n">
        <v>-34.67</v>
      </c>
      <c r="E231" s="0" t="n">
        <v>1931427.29</v>
      </c>
      <c r="F231" s="0" t="n">
        <v>145105.66</v>
      </c>
      <c r="G231" s="0" t="n">
        <v>2076532.95</v>
      </c>
      <c r="H231" s="0" t="n">
        <v>6.4772</v>
      </c>
      <c r="I231" s="0" t="n">
        <v>2076532.95</v>
      </c>
    </row>
    <row r="232" customFormat="false" ht="15" hidden="false" customHeight="false" outlineLevel="0" collapsed="false">
      <c r="A232" s="0" t="n">
        <v>231</v>
      </c>
      <c r="B232" s="0" t="n">
        <v>-35.87</v>
      </c>
      <c r="C232" s="0" t="n">
        <v>-29.53</v>
      </c>
      <c r="D232" s="0" t="n">
        <v>2.73</v>
      </c>
      <c r="E232" s="0" t="n">
        <v>483343.78</v>
      </c>
      <c r="F232" s="0" t="n">
        <v>9087.41</v>
      </c>
      <c r="G232" s="0" t="n">
        <v>492431.19</v>
      </c>
      <c r="H232" s="0" t="n">
        <v>1.536</v>
      </c>
      <c r="I232" s="0" t="n">
        <v>492431.19</v>
      </c>
    </row>
    <row r="233" customFormat="false" ht="15" hidden="false" customHeight="false" outlineLevel="0" collapsed="false">
      <c r="A233" s="0" t="n">
        <v>232</v>
      </c>
      <c r="B233" s="0" t="n">
        <v>-0.11</v>
      </c>
      <c r="C233" s="0" t="n">
        <v>3.33</v>
      </c>
      <c r="D233" s="0" t="n">
        <v>-18.83</v>
      </c>
      <c r="E233" s="0" t="n">
        <v>1536.21</v>
      </c>
      <c r="F233" s="0" t="n">
        <v>0.09</v>
      </c>
      <c r="G233" s="0" t="n">
        <v>1536.3</v>
      </c>
      <c r="H233" s="0" t="n">
        <v>0.0048</v>
      </c>
      <c r="I233" s="0" t="n">
        <v>1536.3</v>
      </c>
    </row>
    <row r="234" customFormat="false" ht="15" hidden="false" customHeight="false" outlineLevel="0" collapsed="false">
      <c r="A234" s="0" t="n">
        <v>233</v>
      </c>
      <c r="B234" s="0" t="n">
        <v>65.97</v>
      </c>
      <c r="C234" s="0" t="n">
        <v>-18.02</v>
      </c>
      <c r="D234" s="0" t="n">
        <v>-13.35</v>
      </c>
      <c r="E234" s="0" t="n">
        <v>-888957.48</v>
      </c>
      <c r="F234" s="0" t="n">
        <v>30738.99</v>
      </c>
      <c r="G234" s="0" t="n">
        <v>-858218.49</v>
      </c>
      <c r="H234" s="0" t="n">
        <v>-2.677</v>
      </c>
      <c r="I234" s="0" t="n">
        <v>858218.49</v>
      </c>
    </row>
    <row r="235" customFormat="false" ht="15" hidden="false" customHeight="false" outlineLevel="0" collapsed="false">
      <c r="A235" s="0" t="n">
        <v>234</v>
      </c>
      <c r="B235" s="0" t="n">
        <v>0.53</v>
      </c>
      <c r="C235" s="0" t="n">
        <v>-19.4</v>
      </c>
      <c r="D235" s="0" t="n">
        <v>21.6</v>
      </c>
      <c r="E235" s="0" t="n">
        <v>-7119.17</v>
      </c>
      <c r="F235" s="0" t="n">
        <v>1.97</v>
      </c>
      <c r="G235" s="0" t="n">
        <v>-7117.2</v>
      </c>
      <c r="H235" s="0" t="n">
        <v>-0.0222</v>
      </c>
      <c r="I235" s="0" t="n">
        <v>7117.2</v>
      </c>
    </row>
    <row r="236" customFormat="false" ht="15" hidden="false" customHeight="false" outlineLevel="0" collapsed="false">
      <c r="A236" s="0" t="n">
        <v>235</v>
      </c>
      <c r="B236" s="0" t="n">
        <v>50.66</v>
      </c>
      <c r="C236" s="0" t="n">
        <v>-2.98</v>
      </c>
      <c r="D236" s="0" t="n">
        <v>-48.37</v>
      </c>
      <c r="E236" s="0" t="n">
        <v>-682629.26</v>
      </c>
      <c r="F236" s="0" t="n">
        <v>18125.81</v>
      </c>
      <c r="G236" s="0" t="n">
        <v>-664503.45</v>
      </c>
      <c r="H236" s="0" t="n">
        <v>-2.0727</v>
      </c>
      <c r="I236" s="0" t="n">
        <v>664503.45</v>
      </c>
    </row>
    <row r="237" customFormat="false" ht="15" hidden="false" customHeight="false" outlineLevel="0" collapsed="false">
      <c r="A237" s="0" t="n">
        <v>236</v>
      </c>
      <c r="B237" s="0" t="n">
        <v>164.17</v>
      </c>
      <c r="C237" s="0" t="n">
        <v>34.75</v>
      </c>
      <c r="D237" s="0" t="n">
        <v>16.4</v>
      </c>
      <c r="E237" s="0" t="n">
        <v>-2212162.03</v>
      </c>
      <c r="F237" s="0" t="n">
        <v>190353.78</v>
      </c>
      <c r="G237" s="0" t="n">
        <v>-2021808.25</v>
      </c>
      <c r="H237" s="0" t="n">
        <v>-6.3065</v>
      </c>
      <c r="I237" s="0" t="n">
        <v>2021808.25</v>
      </c>
    </row>
    <row r="238" customFormat="false" ht="15" hidden="false" customHeight="false" outlineLevel="0" collapsed="false">
      <c r="A238" s="0" t="n">
        <v>237</v>
      </c>
      <c r="B238" s="0" t="n">
        <v>109.23</v>
      </c>
      <c r="C238" s="0" t="n">
        <v>10.02</v>
      </c>
      <c r="D238" s="0" t="n">
        <v>-9.01</v>
      </c>
      <c r="E238" s="0" t="n">
        <v>-1471850.84</v>
      </c>
      <c r="F238" s="0" t="n">
        <v>84266.55</v>
      </c>
      <c r="G238" s="0" t="n">
        <v>-1387584.29</v>
      </c>
      <c r="H238" s="0" t="n">
        <v>-4.3282</v>
      </c>
      <c r="I238" s="0" t="n">
        <v>1387584.29</v>
      </c>
    </row>
    <row r="239" customFormat="false" ht="15" hidden="false" customHeight="false" outlineLevel="0" collapsed="false">
      <c r="A239" s="0" t="n">
        <v>238</v>
      </c>
      <c r="B239" s="0" t="n">
        <v>-110.32</v>
      </c>
      <c r="C239" s="0" t="n">
        <v>-27.41</v>
      </c>
      <c r="D239" s="0" t="n">
        <v>-17.16</v>
      </c>
      <c r="E239" s="0" t="n">
        <v>1486607.88</v>
      </c>
      <c r="F239" s="0" t="n">
        <v>85964.77</v>
      </c>
      <c r="G239" s="0" t="n">
        <v>1572572.65</v>
      </c>
      <c r="H239" s="0" t="n">
        <v>4.9052</v>
      </c>
      <c r="I239" s="0" t="n">
        <v>1572572.65</v>
      </c>
    </row>
    <row r="240" customFormat="false" ht="15" hidden="false" customHeight="false" outlineLevel="0" collapsed="false">
      <c r="A240" s="0" t="n">
        <v>239</v>
      </c>
      <c r="B240" s="0" t="n">
        <v>-48.84</v>
      </c>
      <c r="C240" s="0" t="n">
        <v>-37.44</v>
      </c>
      <c r="D240" s="0" t="n">
        <v>40.29</v>
      </c>
      <c r="E240" s="0" t="n">
        <v>658184.13</v>
      </c>
      <c r="F240" s="0" t="n">
        <v>16850.87</v>
      </c>
      <c r="G240" s="0" t="n">
        <v>675035</v>
      </c>
      <c r="H240" s="0" t="n">
        <v>2.1056</v>
      </c>
      <c r="I240" s="0" t="n">
        <v>675035</v>
      </c>
    </row>
    <row r="241" customFormat="false" ht="15" hidden="false" customHeight="false" outlineLevel="0" collapsed="false">
      <c r="A241" s="0" t="n">
        <v>240</v>
      </c>
      <c r="B241" s="0" t="n">
        <v>37.96</v>
      </c>
      <c r="C241" s="0" t="n">
        <v>-116.12</v>
      </c>
      <c r="D241" s="0" t="n">
        <v>21.15</v>
      </c>
      <c r="E241" s="0" t="n">
        <v>-511558.61</v>
      </c>
      <c r="F241" s="0" t="n">
        <v>10179.31</v>
      </c>
      <c r="G241" s="0" t="n">
        <v>-501379.3</v>
      </c>
      <c r="H241" s="0" t="n">
        <v>-1.5639</v>
      </c>
      <c r="I241" s="0" t="n">
        <v>501379.3</v>
      </c>
    </row>
    <row r="242" customFormat="false" ht="15" hidden="false" customHeight="false" outlineLevel="0" collapsed="false">
      <c r="A242" s="0" t="n">
        <v>241</v>
      </c>
      <c r="B242" s="0" t="n">
        <v>217.89</v>
      </c>
      <c r="C242" s="0" t="n">
        <v>-0.12</v>
      </c>
      <c r="D242" s="0" t="n">
        <v>4.6</v>
      </c>
      <c r="E242" s="0" t="n">
        <v>-2936086.23</v>
      </c>
      <c r="F242" s="0" t="n">
        <v>335324.47</v>
      </c>
      <c r="G242" s="0" t="n">
        <v>-2600761.77</v>
      </c>
      <c r="H242" s="0" t="n">
        <v>-8.1123</v>
      </c>
      <c r="I242" s="0" t="n">
        <v>2600761.77</v>
      </c>
    </row>
    <row r="243" customFormat="false" ht="15" hidden="false" customHeight="false" outlineLevel="0" collapsed="false">
      <c r="A243" s="0" t="n">
        <v>242</v>
      </c>
      <c r="B243" s="0" t="n">
        <v>-50.35</v>
      </c>
      <c r="C243" s="0" t="n">
        <v>58.73</v>
      </c>
      <c r="D243" s="0" t="n">
        <v>-40.86</v>
      </c>
      <c r="E243" s="0" t="n">
        <v>678408.21</v>
      </c>
      <c r="F243" s="0" t="n">
        <v>17902.34</v>
      </c>
      <c r="G243" s="0" t="n">
        <v>696310.55</v>
      </c>
      <c r="H243" s="0" t="n">
        <v>2.1719</v>
      </c>
      <c r="I243" s="0" t="n">
        <v>696310.55</v>
      </c>
    </row>
    <row r="244" customFormat="false" ht="15" hidden="false" customHeight="false" outlineLevel="0" collapsed="false">
      <c r="A244" s="0" t="n">
        <v>243</v>
      </c>
      <c r="B244" s="0" t="n">
        <v>-36.78</v>
      </c>
      <c r="C244" s="0" t="n">
        <v>87.54</v>
      </c>
      <c r="D244" s="0" t="n">
        <v>-1.47</v>
      </c>
      <c r="E244" s="0" t="n">
        <v>495578.29</v>
      </c>
      <c r="F244" s="0" t="n">
        <v>9553.27</v>
      </c>
      <c r="G244" s="0" t="n">
        <v>505131.57</v>
      </c>
      <c r="H244" s="0" t="n">
        <v>1.5756</v>
      </c>
      <c r="I244" s="0" t="n">
        <v>505131.57</v>
      </c>
    </row>
    <row r="245" customFormat="false" ht="15" hidden="false" customHeight="false" outlineLevel="0" collapsed="false">
      <c r="A245" s="0" t="n">
        <v>244</v>
      </c>
      <c r="B245" s="0" t="n">
        <v>-125.78</v>
      </c>
      <c r="C245" s="0" t="n">
        <v>-17.64</v>
      </c>
      <c r="D245" s="0" t="n">
        <v>-7.92</v>
      </c>
      <c r="E245" s="0" t="n">
        <v>1694855.1</v>
      </c>
      <c r="F245" s="0" t="n">
        <v>111735.91</v>
      </c>
      <c r="G245" s="0" t="n">
        <v>1806591.01</v>
      </c>
      <c r="H245" s="0" t="n">
        <v>5.6351</v>
      </c>
      <c r="I245" s="0" t="n">
        <v>1806591.01</v>
      </c>
    </row>
    <row r="246" customFormat="false" ht="15" hidden="false" customHeight="false" outlineLevel="0" collapsed="false">
      <c r="A246" s="0" t="n">
        <v>245</v>
      </c>
      <c r="B246" s="0" t="n">
        <v>-2.4</v>
      </c>
      <c r="C246" s="0" t="n">
        <v>37.03</v>
      </c>
      <c r="D246" s="0" t="n">
        <v>3.96</v>
      </c>
      <c r="E246" s="0" t="n">
        <v>32391.33</v>
      </c>
      <c r="F246" s="0" t="n">
        <v>40.81</v>
      </c>
      <c r="G246" s="0" t="n">
        <v>32432.15</v>
      </c>
      <c r="H246" s="0" t="n">
        <v>0.1012</v>
      </c>
      <c r="I246" s="0" t="n">
        <v>32432.15</v>
      </c>
    </row>
    <row r="247" customFormat="false" ht="15" hidden="false" customHeight="false" outlineLevel="0" collapsed="false">
      <c r="A247" s="0" t="n">
        <v>246</v>
      </c>
      <c r="B247" s="0" t="n">
        <v>-100.03</v>
      </c>
      <c r="C247" s="0" t="n">
        <v>33.88</v>
      </c>
      <c r="D247" s="0" t="n">
        <v>2.63</v>
      </c>
      <c r="E247" s="0" t="n">
        <v>1347919.05</v>
      </c>
      <c r="F247" s="0" t="n">
        <v>70673.28</v>
      </c>
      <c r="G247" s="0" t="n">
        <v>1418592.34</v>
      </c>
      <c r="H247" s="0" t="n">
        <v>4.4249</v>
      </c>
      <c r="I247" s="0" t="n">
        <v>1418592.34</v>
      </c>
    </row>
    <row r="248" customFormat="false" ht="15" hidden="false" customHeight="false" outlineLevel="0" collapsed="false">
      <c r="A248" s="0" t="n">
        <v>247</v>
      </c>
      <c r="B248" s="0" t="n">
        <v>-77.57</v>
      </c>
      <c r="C248" s="0" t="n">
        <v>32.71</v>
      </c>
      <c r="D248" s="0" t="n">
        <v>-44.89</v>
      </c>
      <c r="E248" s="0" t="n">
        <v>1045300.97</v>
      </c>
      <c r="F248" s="0" t="n">
        <v>42502.1</v>
      </c>
      <c r="G248" s="0" t="n">
        <v>1087803.07</v>
      </c>
      <c r="H248" s="0" t="n">
        <v>3.3931</v>
      </c>
      <c r="I248" s="0" t="n">
        <v>1087803.07</v>
      </c>
    </row>
    <row r="249" customFormat="false" ht="15" hidden="false" customHeight="false" outlineLevel="0" collapsed="false">
      <c r="A249" s="0" t="n">
        <v>248</v>
      </c>
      <c r="B249" s="0" t="n">
        <v>-198.44</v>
      </c>
      <c r="C249" s="0" t="n">
        <v>23.86</v>
      </c>
      <c r="D249" s="0" t="n">
        <v>20.82</v>
      </c>
      <c r="E249" s="0" t="n">
        <v>2673976.78</v>
      </c>
      <c r="F249" s="0" t="n">
        <v>278126.84</v>
      </c>
      <c r="G249" s="0" t="n">
        <v>2952103.62</v>
      </c>
      <c r="H249" s="0" t="n">
        <v>9.2082</v>
      </c>
      <c r="I249" s="0" t="n">
        <v>2952103.62</v>
      </c>
    </row>
    <row r="250" customFormat="false" ht="15" hidden="false" customHeight="false" outlineLevel="0" collapsed="false">
      <c r="A250" s="0" t="n">
        <v>249</v>
      </c>
      <c r="B250" s="0" t="n">
        <v>51.5</v>
      </c>
      <c r="C250" s="0" t="n">
        <v>-77.42</v>
      </c>
      <c r="D250" s="0" t="n">
        <v>57.21</v>
      </c>
      <c r="E250" s="0" t="n">
        <v>-693923.29</v>
      </c>
      <c r="F250" s="0" t="n">
        <v>18730.55</v>
      </c>
      <c r="G250" s="0" t="n">
        <v>-675192.74</v>
      </c>
      <c r="H250" s="0" t="n">
        <v>-2.1061</v>
      </c>
      <c r="I250" s="0" t="n">
        <v>675192.74</v>
      </c>
    </row>
    <row r="251" customFormat="false" ht="15" hidden="false" customHeight="false" outlineLevel="0" collapsed="false">
      <c r="A251" s="0" t="n">
        <v>250</v>
      </c>
      <c r="B251" s="0" t="n">
        <v>-102.2</v>
      </c>
      <c r="C251" s="0" t="n">
        <v>-37.53</v>
      </c>
      <c r="D251" s="0" t="n">
        <v>-17.13</v>
      </c>
      <c r="E251" s="0" t="n">
        <v>1377177.45</v>
      </c>
      <c r="F251" s="0" t="n">
        <v>73774.7</v>
      </c>
      <c r="G251" s="0" t="n">
        <v>1450952.14</v>
      </c>
      <c r="H251" s="0" t="n">
        <v>4.5258</v>
      </c>
      <c r="I251" s="0" t="n">
        <v>1450952.14</v>
      </c>
    </row>
    <row r="252" customFormat="false" ht="15" hidden="false" customHeight="false" outlineLevel="0" collapsed="false">
      <c r="A252" s="0" t="n">
        <v>251</v>
      </c>
      <c r="B252" s="0" t="n">
        <v>78.78</v>
      </c>
      <c r="C252" s="0" t="n">
        <v>27.17</v>
      </c>
      <c r="D252" s="0" t="n">
        <v>10.09</v>
      </c>
      <c r="E252" s="0" t="n">
        <v>-1061572.32</v>
      </c>
      <c r="F252" s="0" t="n">
        <v>43835.58</v>
      </c>
      <c r="G252" s="0" t="n">
        <v>-1017736.74</v>
      </c>
      <c r="H252" s="0" t="n">
        <v>-3.1745</v>
      </c>
      <c r="I252" s="0" t="n">
        <v>1017736.74</v>
      </c>
    </row>
    <row r="253" customFormat="false" ht="15" hidden="false" customHeight="false" outlineLevel="0" collapsed="false">
      <c r="A253" s="0" t="n">
        <v>252</v>
      </c>
      <c r="B253" s="0" t="n">
        <v>103.25</v>
      </c>
      <c r="C253" s="0" t="n">
        <v>-30.16</v>
      </c>
      <c r="D253" s="0" t="n">
        <v>15.34</v>
      </c>
      <c r="E253" s="0" t="n">
        <v>-1391257.95</v>
      </c>
      <c r="F253" s="0" t="n">
        <v>75290.98</v>
      </c>
      <c r="G253" s="0" t="n">
        <v>-1315966.97</v>
      </c>
      <c r="H253" s="0" t="n">
        <v>-4.1048</v>
      </c>
      <c r="I253" s="0" t="n">
        <v>1315966.97</v>
      </c>
    </row>
    <row r="254" customFormat="false" ht="15" hidden="false" customHeight="false" outlineLevel="0" collapsed="false">
      <c r="A254" s="0" t="n">
        <v>253</v>
      </c>
      <c r="B254" s="0" t="n">
        <v>-35.13</v>
      </c>
      <c r="C254" s="0" t="n">
        <v>-12.82</v>
      </c>
      <c r="D254" s="0" t="n">
        <v>-25.41</v>
      </c>
      <c r="E254" s="0" t="n">
        <v>473331.59</v>
      </c>
      <c r="F254" s="0" t="n">
        <v>8714.82</v>
      </c>
      <c r="G254" s="0" t="n">
        <v>482046.41</v>
      </c>
      <c r="H254" s="0" t="n">
        <v>1.5036</v>
      </c>
      <c r="I254" s="0" t="n">
        <v>482046.41</v>
      </c>
    </row>
    <row r="255" customFormat="false" ht="15" hidden="false" customHeight="false" outlineLevel="0" collapsed="false">
      <c r="A255" s="0" t="n">
        <v>254</v>
      </c>
      <c r="B255" s="0" t="n">
        <v>44.83</v>
      </c>
      <c r="C255" s="0" t="n">
        <v>27.48</v>
      </c>
      <c r="D255" s="0" t="n">
        <v>39</v>
      </c>
      <c r="E255" s="0" t="n">
        <v>-604025.77</v>
      </c>
      <c r="F255" s="0" t="n">
        <v>14191.84</v>
      </c>
      <c r="G255" s="0" t="n">
        <v>-589833.94</v>
      </c>
      <c r="H255" s="0" t="n">
        <v>-1.8398</v>
      </c>
      <c r="I255" s="0" t="n">
        <v>589833.94</v>
      </c>
    </row>
    <row r="256" customFormat="false" ht="15" hidden="false" customHeight="false" outlineLevel="0" collapsed="false">
      <c r="A256" s="0" t="n">
        <v>255</v>
      </c>
      <c r="B256" s="0" t="n">
        <v>100.12</v>
      </c>
      <c r="C256" s="0" t="n">
        <v>33.09</v>
      </c>
      <c r="D256" s="0" t="n">
        <v>44.43</v>
      </c>
      <c r="E256" s="0" t="n">
        <v>-1349175.82</v>
      </c>
      <c r="F256" s="0" t="n">
        <v>70805.13</v>
      </c>
      <c r="G256" s="0" t="n">
        <v>-1278370.69</v>
      </c>
      <c r="H256" s="0" t="n">
        <v>-3.9875</v>
      </c>
      <c r="I256" s="0" t="n">
        <v>1278370.69</v>
      </c>
    </row>
    <row r="257" customFormat="false" ht="15" hidden="false" customHeight="false" outlineLevel="0" collapsed="false">
      <c r="A257" s="0" t="n">
        <v>256</v>
      </c>
      <c r="B257" s="0" t="n">
        <v>-25.11</v>
      </c>
      <c r="C257" s="0" t="n">
        <v>-47.43</v>
      </c>
      <c r="D257" s="0" t="n">
        <v>-37.96</v>
      </c>
      <c r="E257" s="0" t="n">
        <v>338356.77</v>
      </c>
      <c r="F257" s="0" t="n">
        <v>4453.25</v>
      </c>
      <c r="G257" s="0" t="n">
        <v>342810.02</v>
      </c>
      <c r="H257" s="0" t="n">
        <v>1.0693</v>
      </c>
      <c r="I257" s="0" t="n">
        <v>342810.02</v>
      </c>
    </row>
    <row r="258" customFormat="false" ht="15" hidden="false" customHeight="false" outlineLevel="0" collapsed="false">
      <c r="A258" s="0" t="n">
        <v>257</v>
      </c>
      <c r="B258" s="0" t="n">
        <v>110.98</v>
      </c>
      <c r="C258" s="0" t="n">
        <v>-25.83</v>
      </c>
      <c r="D258" s="0" t="n">
        <v>-7.56</v>
      </c>
      <c r="E258" s="0" t="n">
        <v>-1495456.89</v>
      </c>
      <c r="F258" s="0" t="n">
        <v>86991.22</v>
      </c>
      <c r="G258" s="0" t="n">
        <v>-1408465.67</v>
      </c>
      <c r="H258" s="0" t="n">
        <v>-4.3933</v>
      </c>
      <c r="I258" s="0" t="n">
        <v>1408465.67</v>
      </c>
    </row>
    <row r="259" customFormat="false" ht="15" hidden="false" customHeight="false" outlineLevel="0" collapsed="false">
      <c r="A259" s="0" t="n">
        <v>258</v>
      </c>
      <c r="B259" s="0" t="n">
        <v>-33.45</v>
      </c>
      <c r="C259" s="0" t="n">
        <v>-19.91</v>
      </c>
      <c r="D259" s="0" t="n">
        <v>2.42</v>
      </c>
      <c r="E259" s="0" t="n">
        <v>450726.43</v>
      </c>
      <c r="F259" s="0" t="n">
        <v>7902.3</v>
      </c>
      <c r="G259" s="0" t="n">
        <v>458628.73</v>
      </c>
      <c r="H259" s="0" t="n">
        <v>1.4306</v>
      </c>
      <c r="I259" s="0" t="n">
        <v>458628.73</v>
      </c>
    </row>
    <row r="260" customFormat="false" ht="15" hidden="false" customHeight="false" outlineLevel="0" collapsed="false">
      <c r="A260" s="0" t="n">
        <v>259</v>
      </c>
      <c r="B260" s="0" t="n">
        <v>26.9</v>
      </c>
      <c r="C260" s="0" t="n">
        <v>-40.07</v>
      </c>
      <c r="D260" s="0" t="n">
        <v>45.33</v>
      </c>
      <c r="E260" s="0" t="n">
        <v>-362464.71</v>
      </c>
      <c r="F260" s="0" t="n">
        <v>5110.45</v>
      </c>
      <c r="G260" s="0" t="n">
        <v>-357354.26</v>
      </c>
      <c r="H260" s="0" t="n">
        <v>-1.1147</v>
      </c>
      <c r="I260" s="0" t="n">
        <v>357354.26</v>
      </c>
    </row>
    <row r="261" customFormat="false" ht="15" hidden="false" customHeight="false" outlineLevel="0" collapsed="false">
      <c r="A261" s="0" t="n">
        <v>260</v>
      </c>
      <c r="B261" s="0" t="n">
        <v>-15.06</v>
      </c>
      <c r="C261" s="0" t="n">
        <v>-11.78</v>
      </c>
      <c r="D261" s="0" t="n">
        <v>21.56</v>
      </c>
      <c r="E261" s="0" t="n">
        <v>202982.64</v>
      </c>
      <c r="F261" s="0" t="n">
        <v>1602.67</v>
      </c>
      <c r="G261" s="0" t="n">
        <v>204585.32</v>
      </c>
      <c r="H261" s="0" t="n">
        <v>0.6381</v>
      </c>
      <c r="I261" s="0" t="n">
        <v>204585.32</v>
      </c>
    </row>
    <row r="262" customFormat="false" ht="15" hidden="false" customHeight="false" outlineLevel="0" collapsed="false">
      <c r="A262" s="0" t="n">
        <v>261</v>
      </c>
      <c r="B262" s="0" t="n">
        <v>-116.52</v>
      </c>
      <c r="C262" s="0" t="n">
        <v>28.44</v>
      </c>
      <c r="D262" s="0" t="n">
        <v>-63.57</v>
      </c>
      <c r="E262" s="0" t="n">
        <v>1570104.67</v>
      </c>
      <c r="F262" s="0" t="n">
        <v>95892.54</v>
      </c>
      <c r="G262" s="0" t="n">
        <v>1665997.21</v>
      </c>
      <c r="H262" s="0" t="n">
        <v>5.1966</v>
      </c>
      <c r="I262" s="0" t="n">
        <v>1665997.21</v>
      </c>
    </row>
    <row r="263" customFormat="false" ht="15" hidden="false" customHeight="false" outlineLevel="0" collapsed="false">
      <c r="A263" s="0" t="n">
        <v>262</v>
      </c>
      <c r="B263" s="0" t="n">
        <v>-70.32</v>
      </c>
      <c r="C263" s="0" t="n">
        <v>-59.57</v>
      </c>
      <c r="D263" s="0" t="n">
        <v>-3.02</v>
      </c>
      <c r="E263" s="0" t="n">
        <v>947568.72</v>
      </c>
      <c r="F263" s="0" t="n">
        <v>34926.02</v>
      </c>
      <c r="G263" s="0" t="n">
        <v>982494.73</v>
      </c>
      <c r="H263" s="0" t="n">
        <v>3.0646</v>
      </c>
      <c r="I263" s="0" t="n">
        <v>982494.73</v>
      </c>
    </row>
    <row r="264" customFormat="false" ht="15" hidden="false" customHeight="false" outlineLevel="0" collapsed="false">
      <c r="A264" s="0" t="n">
        <v>263</v>
      </c>
      <c r="B264" s="0" t="n">
        <v>-95.51</v>
      </c>
      <c r="C264" s="0" t="n">
        <v>29.05</v>
      </c>
      <c r="D264" s="0" t="n">
        <v>-10.19</v>
      </c>
      <c r="E264" s="0" t="n">
        <v>1286946.33</v>
      </c>
      <c r="F264" s="0" t="n">
        <v>64424.12</v>
      </c>
      <c r="G264" s="0" t="n">
        <v>1351370.45</v>
      </c>
      <c r="H264" s="0" t="n">
        <v>4.2152</v>
      </c>
      <c r="I264" s="0" t="n">
        <v>1351370.45</v>
      </c>
    </row>
    <row r="265" customFormat="false" ht="15" hidden="false" customHeight="false" outlineLevel="0" collapsed="false">
      <c r="A265" s="0" t="n">
        <v>264</v>
      </c>
      <c r="B265" s="0" t="n">
        <v>-179.89</v>
      </c>
      <c r="C265" s="0" t="n">
        <v>-40.83</v>
      </c>
      <c r="D265" s="0" t="n">
        <v>31.39</v>
      </c>
      <c r="E265" s="0" t="n">
        <v>2424046.83</v>
      </c>
      <c r="F265" s="0" t="n">
        <v>228564.96</v>
      </c>
      <c r="G265" s="0" t="n">
        <v>2652611.79</v>
      </c>
      <c r="H265" s="0" t="n">
        <v>8.2741</v>
      </c>
      <c r="I265" s="0" t="n">
        <v>2652611.79</v>
      </c>
    </row>
    <row r="266" customFormat="false" ht="15" hidden="false" customHeight="false" outlineLevel="0" collapsed="false">
      <c r="A266" s="0" t="n">
        <v>265</v>
      </c>
      <c r="B266" s="0" t="n">
        <v>2.12</v>
      </c>
      <c r="C266" s="0" t="n">
        <v>-8.99</v>
      </c>
      <c r="D266" s="0" t="n">
        <v>-1.99</v>
      </c>
      <c r="E266" s="0" t="n">
        <v>-28529.02</v>
      </c>
      <c r="F266" s="0" t="n">
        <v>31.66</v>
      </c>
      <c r="G266" s="0" t="n">
        <v>-28497.36</v>
      </c>
      <c r="H266" s="0" t="n">
        <v>-0.0889</v>
      </c>
      <c r="I266" s="0" t="n">
        <v>28497.36</v>
      </c>
    </row>
    <row r="267" customFormat="false" ht="15" hidden="false" customHeight="false" outlineLevel="0" collapsed="false">
      <c r="A267" s="0" t="n">
        <v>266</v>
      </c>
      <c r="B267" s="0" t="n">
        <v>-111.29</v>
      </c>
      <c r="C267" s="0" t="n">
        <v>21.68</v>
      </c>
      <c r="D267" s="0" t="n">
        <v>-56.24</v>
      </c>
      <c r="E267" s="0" t="n">
        <v>1499694.24</v>
      </c>
      <c r="F267" s="0" t="n">
        <v>87484.9</v>
      </c>
      <c r="G267" s="0" t="n">
        <v>1587179.13</v>
      </c>
      <c r="H267" s="0" t="n">
        <v>4.9508</v>
      </c>
      <c r="I267" s="0" t="n">
        <v>1587179.13</v>
      </c>
    </row>
    <row r="268" customFormat="false" ht="15" hidden="false" customHeight="false" outlineLevel="0" collapsed="false">
      <c r="A268" s="0" t="n">
        <v>267</v>
      </c>
      <c r="B268" s="0" t="n">
        <v>99.59</v>
      </c>
      <c r="C268" s="0" t="n">
        <v>14.55</v>
      </c>
      <c r="D268" s="0" t="n">
        <v>-7.36</v>
      </c>
      <c r="E268" s="0" t="n">
        <v>-1341983.27</v>
      </c>
      <c r="F268" s="0" t="n">
        <v>70052.21</v>
      </c>
      <c r="G268" s="0" t="n">
        <v>-1271931.06</v>
      </c>
      <c r="H268" s="0" t="n">
        <v>-3.9674</v>
      </c>
      <c r="I268" s="0" t="n">
        <v>1271931.06</v>
      </c>
    </row>
    <row r="269" customFormat="false" ht="15" hidden="false" customHeight="false" outlineLevel="0" collapsed="false">
      <c r="A269" s="0" t="n">
        <v>268</v>
      </c>
      <c r="B269" s="0" t="n">
        <v>-83.27</v>
      </c>
      <c r="C269" s="0" t="n">
        <v>-13.64</v>
      </c>
      <c r="D269" s="0" t="n">
        <v>-49.82</v>
      </c>
      <c r="E269" s="0" t="n">
        <v>1122032.68</v>
      </c>
      <c r="F269" s="0" t="n">
        <v>48970.96</v>
      </c>
      <c r="G269" s="0" t="n">
        <v>1171003.64</v>
      </c>
      <c r="H269" s="0" t="n">
        <v>3.6526</v>
      </c>
      <c r="I269" s="0" t="n">
        <v>1171003.64</v>
      </c>
    </row>
    <row r="270" customFormat="false" ht="15" hidden="false" customHeight="false" outlineLevel="0" collapsed="false">
      <c r="A270" s="0" t="n">
        <v>269</v>
      </c>
      <c r="B270" s="0" t="n">
        <v>-172.72</v>
      </c>
      <c r="C270" s="0" t="n">
        <v>28.09</v>
      </c>
      <c r="D270" s="0" t="n">
        <v>-36.44</v>
      </c>
      <c r="E270" s="0" t="n">
        <v>2327368.47</v>
      </c>
      <c r="F270" s="0" t="n">
        <v>210696.79</v>
      </c>
      <c r="G270" s="0" t="n">
        <v>2538065.26</v>
      </c>
      <c r="H270" s="0" t="n">
        <v>7.9168</v>
      </c>
      <c r="I270" s="0" t="n">
        <v>2538065.26</v>
      </c>
    </row>
    <row r="271" customFormat="false" ht="15" hidden="false" customHeight="false" outlineLevel="0" collapsed="false">
      <c r="A271" s="0" t="n">
        <v>270</v>
      </c>
      <c r="B271" s="0" t="n">
        <v>187.88</v>
      </c>
      <c r="C271" s="0" t="n">
        <v>12.68</v>
      </c>
      <c r="D271" s="0" t="n">
        <v>-19.21</v>
      </c>
      <c r="E271" s="0" t="n">
        <v>-2531628.55</v>
      </c>
      <c r="F271" s="0" t="n">
        <v>249303.06</v>
      </c>
      <c r="G271" s="0" t="n">
        <v>-2282325.5</v>
      </c>
      <c r="H271" s="0" t="n">
        <v>-7.1191</v>
      </c>
      <c r="I271" s="0" t="n">
        <v>2282325.5</v>
      </c>
    </row>
    <row r="272" customFormat="false" ht="15" hidden="false" customHeight="false" outlineLevel="0" collapsed="false">
      <c r="A272" s="0" t="n">
        <v>271</v>
      </c>
      <c r="B272" s="0" t="n">
        <v>250.23</v>
      </c>
      <c r="C272" s="0" t="n">
        <v>66.97</v>
      </c>
      <c r="D272" s="0" t="n">
        <v>-2.63</v>
      </c>
      <c r="E272" s="0" t="n">
        <v>-3371831.55</v>
      </c>
      <c r="F272" s="0" t="n">
        <v>442241.38</v>
      </c>
      <c r="G272" s="0" t="n">
        <v>-2929590.18</v>
      </c>
      <c r="H272" s="0" t="n">
        <v>-9.138</v>
      </c>
      <c r="I272" s="0" t="n">
        <v>2929590.18</v>
      </c>
    </row>
    <row r="273" customFormat="false" ht="15" hidden="false" customHeight="false" outlineLevel="0" collapsed="false">
      <c r="A273" s="0" t="n">
        <v>272</v>
      </c>
      <c r="B273" s="0" t="n">
        <v>149.35</v>
      </c>
      <c r="C273" s="0" t="n">
        <v>-8.7</v>
      </c>
      <c r="D273" s="0" t="n">
        <v>2.3</v>
      </c>
      <c r="E273" s="0" t="n">
        <v>-2012434.81</v>
      </c>
      <c r="F273" s="0" t="n">
        <v>157532.9</v>
      </c>
      <c r="G273" s="0" t="n">
        <v>-1854901.91</v>
      </c>
      <c r="H273" s="0" t="n">
        <v>-5.7858</v>
      </c>
      <c r="I273" s="0" t="n">
        <v>1854901.91</v>
      </c>
    </row>
    <row r="274" customFormat="false" ht="15" hidden="false" customHeight="false" outlineLevel="0" collapsed="false">
      <c r="A274" s="0" t="n">
        <v>273</v>
      </c>
      <c r="B274" s="0" t="n">
        <v>-12.93</v>
      </c>
      <c r="C274" s="0" t="n">
        <v>5.02</v>
      </c>
      <c r="D274" s="0" t="n">
        <v>-18.59</v>
      </c>
      <c r="E274" s="0" t="n">
        <v>174208.07</v>
      </c>
      <c r="F274" s="0" t="n">
        <v>1180.5</v>
      </c>
      <c r="G274" s="0" t="n">
        <v>175388.57</v>
      </c>
      <c r="H274" s="0" t="n">
        <v>0.5471</v>
      </c>
      <c r="I274" s="0" t="n">
        <v>175388.57</v>
      </c>
    </row>
    <row r="275" customFormat="false" ht="15" hidden="false" customHeight="false" outlineLevel="0" collapsed="false">
      <c r="A275" s="0" t="n">
        <v>274</v>
      </c>
      <c r="B275" s="0" t="n">
        <v>-92.15</v>
      </c>
      <c r="C275" s="0" t="n">
        <v>-60.58</v>
      </c>
      <c r="D275" s="0" t="n">
        <v>24.67</v>
      </c>
      <c r="E275" s="0" t="n">
        <v>1241738.27</v>
      </c>
      <c r="F275" s="0" t="n">
        <v>59977.42</v>
      </c>
      <c r="G275" s="0" t="n">
        <v>1301715.68</v>
      </c>
      <c r="H275" s="0" t="n">
        <v>4.0603</v>
      </c>
      <c r="I275" s="0" t="n">
        <v>1301715.68</v>
      </c>
    </row>
    <row r="276" customFormat="false" ht="15" hidden="false" customHeight="false" outlineLevel="0" collapsed="false">
      <c r="A276" s="0" t="n">
        <v>275</v>
      </c>
      <c r="B276" s="0" t="n">
        <v>-5.81</v>
      </c>
      <c r="C276" s="0" t="n">
        <v>-80.39</v>
      </c>
      <c r="D276" s="0" t="n">
        <v>-17.9</v>
      </c>
      <c r="E276" s="0" t="n">
        <v>78352.56</v>
      </c>
      <c r="F276" s="0" t="n">
        <v>238.8</v>
      </c>
      <c r="G276" s="0" t="n">
        <v>78591.36</v>
      </c>
      <c r="H276" s="0" t="n">
        <v>0.2451</v>
      </c>
      <c r="I276" s="0" t="n">
        <v>78591.36</v>
      </c>
    </row>
    <row r="277" customFormat="false" ht="15" hidden="false" customHeight="false" outlineLevel="0" collapsed="false">
      <c r="A277" s="0" t="n">
        <v>276</v>
      </c>
      <c r="B277" s="0" t="n">
        <v>173.17</v>
      </c>
      <c r="C277" s="0" t="n">
        <v>-56.9</v>
      </c>
      <c r="D277" s="0" t="n">
        <v>-30.77</v>
      </c>
      <c r="E277" s="0" t="n">
        <v>-2333481.15</v>
      </c>
      <c r="F277" s="0" t="n">
        <v>211805.01</v>
      </c>
      <c r="G277" s="0" t="n">
        <v>-2121676.14</v>
      </c>
      <c r="H277" s="0" t="n">
        <v>-6.618</v>
      </c>
      <c r="I277" s="0" t="n">
        <v>2121676.14</v>
      </c>
    </row>
    <row r="278" customFormat="false" ht="15" hidden="false" customHeight="false" outlineLevel="0" collapsed="false">
      <c r="A278" s="0" t="n">
        <v>277</v>
      </c>
      <c r="B278" s="0" t="n">
        <v>145.95</v>
      </c>
      <c r="C278" s="0" t="n">
        <v>-17.21</v>
      </c>
      <c r="D278" s="0" t="n">
        <v>4.33</v>
      </c>
      <c r="E278" s="0" t="n">
        <v>-1966623.08</v>
      </c>
      <c r="F278" s="0" t="n">
        <v>150442.28</v>
      </c>
      <c r="G278" s="0" t="n">
        <v>-1816180.81</v>
      </c>
      <c r="H278" s="0" t="n">
        <v>-5.6651</v>
      </c>
      <c r="I278" s="0" t="n">
        <v>1816180.81</v>
      </c>
    </row>
    <row r="279" customFormat="false" ht="15" hidden="false" customHeight="false" outlineLevel="0" collapsed="false">
      <c r="A279" s="0" t="n">
        <v>278</v>
      </c>
      <c r="B279" s="0" t="n">
        <v>-40.33</v>
      </c>
      <c r="C279" s="0" t="n">
        <v>21.5</v>
      </c>
      <c r="D279" s="0" t="n">
        <v>14.65</v>
      </c>
      <c r="E279" s="0" t="n">
        <v>543437.65</v>
      </c>
      <c r="F279" s="0" t="n">
        <v>11487.54</v>
      </c>
      <c r="G279" s="0" t="n">
        <v>554925.19</v>
      </c>
      <c r="H279" s="0" t="n">
        <v>1.7309</v>
      </c>
      <c r="I279" s="0" t="n">
        <v>554925.19</v>
      </c>
    </row>
    <row r="280" customFormat="false" ht="15" hidden="false" customHeight="false" outlineLevel="0" collapsed="false">
      <c r="A280" s="0" t="n">
        <v>279</v>
      </c>
      <c r="B280" s="0" t="n">
        <v>62.15</v>
      </c>
      <c r="C280" s="0" t="n">
        <v>-70.63</v>
      </c>
      <c r="D280" s="0" t="n">
        <v>2.65</v>
      </c>
      <c r="E280" s="0" t="n">
        <v>-837481.85</v>
      </c>
      <c r="F280" s="0" t="n">
        <v>27282.14</v>
      </c>
      <c r="G280" s="0" t="n">
        <v>-810199.71</v>
      </c>
      <c r="H280" s="0" t="n">
        <v>-2.5272</v>
      </c>
      <c r="I280" s="0" t="n">
        <v>810199.71</v>
      </c>
    </row>
    <row r="281" customFormat="false" ht="15" hidden="false" customHeight="false" outlineLevel="0" collapsed="false">
      <c r="A281" s="0" t="n">
        <v>280</v>
      </c>
      <c r="B281" s="0" t="n">
        <v>21.58</v>
      </c>
      <c r="C281" s="0" t="n">
        <v>-27.81</v>
      </c>
      <c r="D281" s="0" t="n">
        <v>1.99</v>
      </c>
      <c r="E281" s="0" t="n">
        <v>-290806.12</v>
      </c>
      <c r="F281" s="0" t="n">
        <v>3289.54</v>
      </c>
      <c r="G281" s="0" t="n">
        <v>-287516.58</v>
      </c>
      <c r="H281" s="0" t="n">
        <v>-0.8968</v>
      </c>
      <c r="I281" s="0" t="n">
        <v>287516.58</v>
      </c>
    </row>
    <row r="282" customFormat="false" ht="15" hidden="false" customHeight="false" outlineLevel="0" collapsed="false">
      <c r="A282" s="0" t="n">
        <v>281</v>
      </c>
      <c r="B282" s="0" t="n">
        <v>9.92</v>
      </c>
      <c r="C282" s="0" t="n">
        <v>95.94</v>
      </c>
      <c r="D282" s="0" t="n">
        <v>23.46</v>
      </c>
      <c r="E282" s="0" t="n">
        <v>-133651.41</v>
      </c>
      <c r="F282" s="0" t="n">
        <v>694.82</v>
      </c>
      <c r="G282" s="0" t="n">
        <v>-132956.59</v>
      </c>
      <c r="H282" s="0" t="n">
        <v>-0.4147</v>
      </c>
      <c r="I282" s="0" t="n">
        <v>132956.59</v>
      </c>
    </row>
    <row r="283" customFormat="false" ht="15" hidden="false" customHeight="false" outlineLevel="0" collapsed="false">
      <c r="A283" s="0" t="n">
        <v>282</v>
      </c>
      <c r="B283" s="0" t="n">
        <v>-96.73</v>
      </c>
      <c r="C283" s="0" t="n">
        <v>73.45</v>
      </c>
      <c r="D283" s="0" t="n">
        <v>26.47</v>
      </c>
      <c r="E283" s="0" t="n">
        <v>1303405.98</v>
      </c>
      <c r="F283" s="0" t="n">
        <v>66082.59</v>
      </c>
      <c r="G283" s="0" t="n">
        <v>1369488.57</v>
      </c>
      <c r="H283" s="0" t="n">
        <v>4.2717</v>
      </c>
      <c r="I283" s="0" t="n">
        <v>1369488.57</v>
      </c>
    </row>
    <row r="284" customFormat="false" ht="15" hidden="false" customHeight="false" outlineLevel="0" collapsed="false">
      <c r="A284" s="0" t="n">
        <v>283</v>
      </c>
      <c r="B284" s="0" t="n">
        <v>62.51</v>
      </c>
      <c r="C284" s="0" t="n">
        <v>41.99</v>
      </c>
      <c r="D284" s="0" t="n">
        <v>48.15</v>
      </c>
      <c r="E284" s="0" t="n">
        <v>-842262.51</v>
      </c>
      <c r="F284" s="0" t="n">
        <v>27594.5</v>
      </c>
      <c r="G284" s="0" t="n">
        <v>-814668.01</v>
      </c>
      <c r="H284" s="0" t="n">
        <v>-2.5411</v>
      </c>
      <c r="I284" s="0" t="n">
        <v>814668.01</v>
      </c>
    </row>
    <row r="285" customFormat="false" ht="15" hidden="false" customHeight="false" outlineLevel="0" collapsed="false">
      <c r="A285" s="0" t="n">
        <v>284</v>
      </c>
      <c r="B285" s="0" t="n">
        <v>144.14</v>
      </c>
      <c r="C285" s="0" t="n">
        <v>-3.82</v>
      </c>
      <c r="D285" s="0" t="n">
        <v>-32.49</v>
      </c>
      <c r="E285" s="0" t="n">
        <v>-1942335.19</v>
      </c>
      <c r="F285" s="0" t="n">
        <v>146749.28</v>
      </c>
      <c r="G285" s="0" t="n">
        <v>-1795585.91</v>
      </c>
      <c r="H285" s="0" t="n">
        <v>-5.6008</v>
      </c>
      <c r="I285" s="0" t="n">
        <v>1795585.91</v>
      </c>
    </row>
    <row r="286" customFormat="false" ht="15" hidden="false" customHeight="false" outlineLevel="0" collapsed="false">
      <c r="A286" s="0" t="n">
        <v>285</v>
      </c>
      <c r="B286" s="0" t="n">
        <v>-19.82</v>
      </c>
      <c r="C286" s="0" t="n">
        <v>0.93</v>
      </c>
      <c r="D286" s="0" t="n">
        <v>-21.25</v>
      </c>
      <c r="E286" s="0" t="n">
        <v>267120.48</v>
      </c>
      <c r="F286" s="0" t="n">
        <v>2775.5</v>
      </c>
      <c r="G286" s="0" t="n">
        <v>269895.99</v>
      </c>
      <c r="H286" s="0" t="n">
        <v>0.8419</v>
      </c>
      <c r="I286" s="0" t="n">
        <v>269895.99</v>
      </c>
    </row>
    <row r="287" customFormat="false" ht="15" hidden="false" customHeight="false" outlineLevel="0" collapsed="false">
      <c r="A287" s="0" t="n">
        <v>286</v>
      </c>
      <c r="B287" s="0" t="n">
        <v>23.25</v>
      </c>
      <c r="C287" s="0" t="n">
        <v>-26.14</v>
      </c>
      <c r="D287" s="0" t="n">
        <v>54.2</v>
      </c>
      <c r="E287" s="0" t="n">
        <v>-313337.95</v>
      </c>
      <c r="F287" s="0" t="n">
        <v>3819.03</v>
      </c>
      <c r="G287" s="0" t="n">
        <v>-309518.92</v>
      </c>
      <c r="H287" s="0" t="n">
        <v>-0.9655</v>
      </c>
      <c r="I287" s="0" t="n">
        <v>309518.92</v>
      </c>
    </row>
    <row r="288" customFormat="false" ht="15" hidden="false" customHeight="false" outlineLevel="0" collapsed="false">
      <c r="A288" s="0" t="n">
        <v>287</v>
      </c>
      <c r="B288" s="0" t="n">
        <v>-70.07</v>
      </c>
      <c r="C288" s="0" t="n">
        <v>28.35</v>
      </c>
      <c r="D288" s="0" t="n">
        <v>46.5</v>
      </c>
      <c r="E288" s="0" t="n">
        <v>944243.8</v>
      </c>
      <c r="F288" s="0" t="n">
        <v>34681.34</v>
      </c>
      <c r="G288" s="0" t="n">
        <v>978925.14</v>
      </c>
      <c r="H288" s="0" t="n">
        <v>3.0535</v>
      </c>
      <c r="I288" s="0" t="n">
        <v>978925.14</v>
      </c>
    </row>
    <row r="289" customFormat="false" ht="15" hidden="false" customHeight="false" outlineLevel="0" collapsed="false">
      <c r="A289" s="0" t="n">
        <v>288</v>
      </c>
      <c r="B289" s="0" t="n">
        <v>116.63</v>
      </c>
      <c r="C289" s="0" t="n">
        <v>-47.14</v>
      </c>
      <c r="D289" s="0" t="n">
        <v>12.92</v>
      </c>
      <c r="E289" s="0" t="n">
        <v>-1571580.99</v>
      </c>
      <c r="F289" s="0" t="n">
        <v>96072.96</v>
      </c>
      <c r="G289" s="0" t="n">
        <v>-1475508.03</v>
      </c>
      <c r="H289" s="0" t="n">
        <v>-4.6024</v>
      </c>
      <c r="I289" s="0" t="n">
        <v>1475508.03</v>
      </c>
    </row>
    <row r="290" customFormat="false" ht="15" hidden="false" customHeight="false" outlineLevel="0" collapsed="false">
      <c r="A290" s="0" t="n">
        <v>289</v>
      </c>
      <c r="B290" s="0" t="n">
        <v>-131.43</v>
      </c>
      <c r="C290" s="0" t="n">
        <v>1.77</v>
      </c>
      <c r="D290" s="0" t="n">
        <v>-13.25</v>
      </c>
      <c r="E290" s="0" t="n">
        <v>1771010.32</v>
      </c>
      <c r="F290" s="0" t="n">
        <v>122002.8</v>
      </c>
      <c r="G290" s="0" t="n">
        <v>1893013.12</v>
      </c>
      <c r="H290" s="0" t="n">
        <v>5.9047</v>
      </c>
      <c r="I290" s="0" t="n">
        <v>1893013.12</v>
      </c>
    </row>
    <row r="291" customFormat="false" ht="15" hidden="false" customHeight="false" outlineLevel="0" collapsed="false">
      <c r="A291" s="0" t="n">
        <v>290</v>
      </c>
      <c r="B291" s="0" t="n">
        <v>-369.78</v>
      </c>
      <c r="C291" s="0" t="n">
        <v>49.15</v>
      </c>
      <c r="D291" s="0" t="n">
        <v>6.99</v>
      </c>
      <c r="E291" s="0" t="n">
        <v>4982794.41</v>
      </c>
      <c r="F291" s="0" t="n">
        <v>965769.69</v>
      </c>
      <c r="G291" s="0" t="n">
        <v>5948564.1</v>
      </c>
      <c r="H291" s="0" t="n">
        <v>18.5549</v>
      </c>
      <c r="I291" s="0" t="n">
        <v>5948564.1</v>
      </c>
    </row>
    <row r="292" customFormat="false" ht="15" hidden="false" customHeight="false" outlineLevel="0" collapsed="false">
      <c r="A292" s="0" t="n">
        <v>291</v>
      </c>
      <c r="B292" s="0" t="n">
        <v>-160.03</v>
      </c>
      <c r="C292" s="0" t="n">
        <v>-6.73</v>
      </c>
      <c r="D292" s="0" t="n">
        <v>59.79</v>
      </c>
      <c r="E292" s="0" t="n">
        <v>2156433.8</v>
      </c>
      <c r="F292" s="0" t="n">
        <v>180883.89</v>
      </c>
      <c r="G292" s="0" t="n">
        <v>2337317.69</v>
      </c>
      <c r="H292" s="0" t="n">
        <v>7.2906</v>
      </c>
      <c r="I292" s="0" t="n">
        <v>2337317.69</v>
      </c>
    </row>
    <row r="293" customFormat="false" ht="15" hidden="false" customHeight="false" outlineLevel="0" collapsed="false">
      <c r="A293" s="0" t="n">
        <v>292</v>
      </c>
      <c r="B293" s="0" t="n">
        <v>-85.83</v>
      </c>
      <c r="C293" s="0" t="n">
        <v>24.47</v>
      </c>
      <c r="D293" s="0" t="n">
        <v>-16.11</v>
      </c>
      <c r="E293" s="0" t="n">
        <v>1156596.67</v>
      </c>
      <c r="F293" s="0" t="n">
        <v>52034.51</v>
      </c>
      <c r="G293" s="0" t="n">
        <v>1208631.18</v>
      </c>
      <c r="H293" s="0" t="n">
        <v>3.77</v>
      </c>
      <c r="I293" s="0" t="n">
        <v>1208631.18</v>
      </c>
    </row>
    <row r="294" customFormat="false" ht="15" hidden="false" customHeight="false" outlineLevel="0" collapsed="false">
      <c r="A294" s="0" t="n">
        <v>293</v>
      </c>
      <c r="B294" s="0" t="n">
        <v>18.19</v>
      </c>
      <c r="C294" s="0" t="n">
        <v>3.65</v>
      </c>
      <c r="D294" s="0" t="n">
        <v>-33.78</v>
      </c>
      <c r="E294" s="0" t="n">
        <v>-245096.89</v>
      </c>
      <c r="F294" s="0" t="n">
        <v>2336.7</v>
      </c>
      <c r="G294" s="0" t="n">
        <v>-242760.19</v>
      </c>
      <c r="H294" s="0" t="n">
        <v>-0.7572</v>
      </c>
      <c r="I294" s="0" t="n">
        <v>242760.19</v>
      </c>
    </row>
    <row r="295" customFormat="false" ht="15" hidden="false" customHeight="false" outlineLevel="0" collapsed="false">
      <c r="A295" s="0" t="n">
        <v>294</v>
      </c>
      <c r="B295" s="0" t="n">
        <v>-58.63</v>
      </c>
      <c r="C295" s="0" t="n">
        <v>-8.09</v>
      </c>
      <c r="D295" s="0" t="n">
        <v>43.1</v>
      </c>
      <c r="E295" s="0" t="n">
        <v>790003.84</v>
      </c>
      <c r="F295" s="0" t="n">
        <v>24276.5</v>
      </c>
      <c r="G295" s="0" t="n">
        <v>814280.34</v>
      </c>
      <c r="H295" s="0" t="n">
        <v>2.5399</v>
      </c>
      <c r="I295" s="0" t="n">
        <v>814280.34</v>
      </c>
    </row>
    <row r="296" customFormat="false" ht="15" hidden="false" customHeight="false" outlineLevel="0" collapsed="false">
      <c r="A296" s="0" t="n">
        <v>295</v>
      </c>
      <c r="B296" s="0" t="n">
        <v>38.26</v>
      </c>
      <c r="C296" s="0" t="n">
        <v>-16</v>
      </c>
      <c r="D296" s="0" t="n">
        <v>-31.02</v>
      </c>
      <c r="E296" s="0" t="n">
        <v>-515486.71</v>
      </c>
      <c r="F296" s="0" t="n">
        <v>10336.24</v>
      </c>
      <c r="G296" s="0" t="n">
        <v>-505150.47</v>
      </c>
      <c r="H296" s="0" t="n">
        <v>-1.5757</v>
      </c>
      <c r="I296" s="0" t="n">
        <v>505150.47</v>
      </c>
    </row>
    <row r="297" customFormat="false" ht="15" hidden="false" customHeight="false" outlineLevel="0" collapsed="false">
      <c r="A297" s="0" t="n">
        <v>296</v>
      </c>
      <c r="B297" s="0" t="n">
        <v>-100.44</v>
      </c>
      <c r="C297" s="0" t="n">
        <v>-50.73</v>
      </c>
      <c r="D297" s="0" t="n">
        <v>10.25</v>
      </c>
      <c r="E297" s="0" t="n">
        <v>1353478.33</v>
      </c>
      <c r="F297" s="0" t="n">
        <v>71257.44</v>
      </c>
      <c r="G297" s="0" t="n">
        <v>1424735.77</v>
      </c>
      <c r="H297" s="0" t="n">
        <v>4.4441</v>
      </c>
      <c r="I297" s="0" t="n">
        <v>1424735.77</v>
      </c>
    </row>
    <row r="298" customFormat="false" ht="15" hidden="false" customHeight="false" outlineLevel="0" collapsed="false">
      <c r="A298" s="0" t="n">
        <v>297</v>
      </c>
      <c r="B298" s="0" t="n">
        <v>85.1</v>
      </c>
      <c r="C298" s="0" t="n">
        <v>68.31</v>
      </c>
      <c r="D298" s="0" t="n">
        <v>-31.61</v>
      </c>
      <c r="E298" s="0" t="n">
        <v>-1146780.43</v>
      </c>
      <c r="F298" s="0" t="n">
        <v>51155.01</v>
      </c>
      <c r="G298" s="0" t="n">
        <v>-1095625.42</v>
      </c>
      <c r="H298" s="0" t="n">
        <v>-3.4175</v>
      </c>
      <c r="I298" s="0" t="n">
        <v>1095625.42</v>
      </c>
    </row>
    <row r="299" customFormat="false" ht="15" hidden="false" customHeight="false" outlineLevel="0" collapsed="false">
      <c r="A299" s="0" t="n">
        <v>298</v>
      </c>
      <c r="B299" s="0" t="n">
        <v>20.62</v>
      </c>
      <c r="C299" s="0" t="n">
        <v>-66.48</v>
      </c>
      <c r="D299" s="0" t="n">
        <v>-1.92</v>
      </c>
      <c r="E299" s="0" t="n">
        <v>-277892.3</v>
      </c>
      <c r="F299" s="0" t="n">
        <v>3003.87</v>
      </c>
      <c r="G299" s="0" t="n">
        <v>-274888.44</v>
      </c>
      <c r="H299" s="0" t="n">
        <v>-0.8574</v>
      </c>
      <c r="I299" s="0" t="n">
        <v>274888.44</v>
      </c>
    </row>
    <row r="300" customFormat="false" ht="15" hidden="false" customHeight="false" outlineLevel="0" collapsed="false">
      <c r="A300" s="0" t="n">
        <v>299</v>
      </c>
      <c r="B300" s="0" t="n">
        <v>-89.68</v>
      </c>
      <c r="C300" s="0" t="n">
        <v>-103.57</v>
      </c>
      <c r="D300" s="0" t="n">
        <v>28.78</v>
      </c>
      <c r="E300" s="0" t="n">
        <v>1208451.26</v>
      </c>
      <c r="F300" s="0" t="n">
        <v>56804.91</v>
      </c>
      <c r="G300" s="0" t="n">
        <v>1265256.18</v>
      </c>
      <c r="H300" s="0" t="n">
        <v>3.9466</v>
      </c>
      <c r="I300" s="0" t="n">
        <v>1265256.18</v>
      </c>
    </row>
    <row r="301" customFormat="false" ht="15" hidden="false" customHeight="false" outlineLevel="0" collapsed="false">
      <c r="A301" s="0" t="n">
        <v>300</v>
      </c>
      <c r="B301" s="0" t="n">
        <v>-126.17</v>
      </c>
      <c r="C301" s="0" t="n">
        <v>-101.58</v>
      </c>
      <c r="D301" s="0" t="n">
        <v>12.24</v>
      </c>
      <c r="E301" s="0" t="n">
        <v>1700136.35</v>
      </c>
      <c r="F301" s="0" t="n">
        <v>112433.35</v>
      </c>
      <c r="G301" s="0" t="n">
        <v>1812569.7</v>
      </c>
      <c r="H301" s="0" t="n">
        <v>5.6538</v>
      </c>
      <c r="I301" s="0" t="n">
        <v>1812569.7</v>
      </c>
    </row>
    <row r="302" customFormat="false" ht="15" hidden="false" customHeight="false" outlineLevel="0" collapsed="false">
      <c r="A302" s="0" t="n">
        <v>301</v>
      </c>
      <c r="B302" s="0" t="n">
        <v>-16.8</v>
      </c>
      <c r="C302" s="0" t="n">
        <v>-49.03</v>
      </c>
      <c r="D302" s="0" t="n">
        <v>-61.89</v>
      </c>
      <c r="E302" s="0" t="n">
        <v>226381.84</v>
      </c>
      <c r="F302" s="0" t="n">
        <v>1993.48</v>
      </c>
      <c r="G302" s="0" t="n">
        <v>228375.32</v>
      </c>
      <c r="H302" s="0" t="n">
        <v>0.7124</v>
      </c>
      <c r="I302" s="0" t="n">
        <v>228375.32</v>
      </c>
    </row>
    <row r="303" customFormat="false" ht="15" hidden="false" customHeight="false" outlineLevel="0" collapsed="false">
      <c r="A303" s="0" t="n">
        <v>302</v>
      </c>
      <c r="B303" s="0" t="n">
        <v>118.78</v>
      </c>
      <c r="C303" s="0" t="n">
        <v>-27.17</v>
      </c>
      <c r="D303" s="0" t="n">
        <v>-23.2</v>
      </c>
      <c r="E303" s="0" t="n">
        <v>-1600511.46</v>
      </c>
      <c r="F303" s="0" t="n">
        <v>99642.64</v>
      </c>
      <c r="G303" s="0" t="n">
        <v>-1500868.82</v>
      </c>
      <c r="H303" s="0" t="n">
        <v>-4.6815</v>
      </c>
      <c r="I303" s="0" t="n">
        <v>1500868.82</v>
      </c>
    </row>
    <row r="304" customFormat="false" ht="15" hidden="false" customHeight="false" outlineLevel="0" collapsed="false">
      <c r="A304" s="0" t="n">
        <v>303</v>
      </c>
      <c r="B304" s="0" t="n">
        <v>-262.01</v>
      </c>
      <c r="C304" s="0" t="n">
        <v>23.01</v>
      </c>
      <c r="D304" s="0" t="n">
        <v>10.73</v>
      </c>
      <c r="E304" s="0" t="n">
        <v>3530610.22</v>
      </c>
      <c r="F304" s="0" t="n">
        <v>484872.08</v>
      </c>
      <c r="G304" s="0" t="n">
        <v>4015482.31</v>
      </c>
      <c r="H304" s="0" t="n">
        <v>12.5252</v>
      </c>
      <c r="I304" s="0" t="n">
        <v>4015482.31</v>
      </c>
    </row>
    <row r="305" customFormat="false" ht="15" hidden="false" customHeight="false" outlineLevel="0" collapsed="false">
      <c r="A305" s="0" t="n">
        <v>304</v>
      </c>
      <c r="B305" s="0" t="n">
        <v>58</v>
      </c>
      <c r="C305" s="0" t="n">
        <v>-7.73</v>
      </c>
      <c r="D305" s="0" t="n">
        <v>-11.86</v>
      </c>
      <c r="E305" s="0" t="n">
        <v>-781518.42</v>
      </c>
      <c r="F305" s="0" t="n">
        <v>23757.79</v>
      </c>
      <c r="G305" s="0" t="n">
        <v>-757760.63</v>
      </c>
      <c r="H305" s="0" t="n">
        <v>-2.3636</v>
      </c>
      <c r="I305" s="0" t="n">
        <v>757760.63</v>
      </c>
    </row>
    <row r="306" customFormat="false" ht="15" hidden="false" customHeight="false" outlineLevel="0" collapsed="false">
      <c r="A306" s="0" t="n">
        <v>305</v>
      </c>
      <c r="B306" s="0" t="n">
        <v>-61.34</v>
      </c>
      <c r="C306" s="0" t="n">
        <v>3.31</v>
      </c>
      <c r="D306" s="0" t="n">
        <v>19.39</v>
      </c>
      <c r="E306" s="0" t="n">
        <v>826514.35</v>
      </c>
      <c r="F306" s="0" t="n">
        <v>26572.26</v>
      </c>
      <c r="G306" s="0" t="n">
        <v>853086.6</v>
      </c>
      <c r="H306" s="0" t="n">
        <v>2.661</v>
      </c>
      <c r="I306" s="0" t="n">
        <v>853086.6</v>
      </c>
    </row>
    <row r="307" customFormat="false" ht="15" hidden="false" customHeight="false" outlineLevel="0" collapsed="false">
      <c r="A307" s="0" t="n">
        <v>306</v>
      </c>
      <c r="B307" s="0" t="n">
        <v>96.82</v>
      </c>
      <c r="C307" s="0" t="n">
        <v>32.3</v>
      </c>
      <c r="D307" s="0" t="n">
        <v>-69.16</v>
      </c>
      <c r="E307" s="0" t="n">
        <v>-1304683.33</v>
      </c>
      <c r="F307" s="0" t="n">
        <v>66212.18</v>
      </c>
      <c r="G307" s="0" t="n">
        <v>-1238471.16</v>
      </c>
      <c r="H307" s="0" t="n">
        <v>-3.8631</v>
      </c>
      <c r="I307" s="0" t="n">
        <v>1238471.16</v>
      </c>
    </row>
    <row r="308" customFormat="false" ht="15" hidden="false" customHeight="false" outlineLevel="0" collapsed="false">
      <c r="A308" s="0" t="n">
        <v>307</v>
      </c>
      <c r="B308" s="0" t="n">
        <v>-73.09</v>
      </c>
      <c r="C308" s="0" t="n">
        <v>1.44</v>
      </c>
      <c r="D308" s="0" t="n">
        <v>-106.74</v>
      </c>
      <c r="E308" s="0" t="n">
        <v>984864.8</v>
      </c>
      <c r="F308" s="0" t="n">
        <v>37729.48</v>
      </c>
      <c r="G308" s="0" t="n">
        <v>1022594.29</v>
      </c>
      <c r="H308" s="0" t="n">
        <v>3.1897</v>
      </c>
      <c r="I308" s="0" t="n">
        <v>1022594.29</v>
      </c>
    </row>
    <row r="309" customFormat="false" ht="15" hidden="false" customHeight="false" outlineLevel="0" collapsed="false">
      <c r="A309" s="0" t="n">
        <v>308</v>
      </c>
      <c r="B309" s="0" t="n">
        <v>-132.74</v>
      </c>
      <c r="C309" s="0" t="n">
        <v>-24.55</v>
      </c>
      <c r="D309" s="0" t="n">
        <v>18.08</v>
      </c>
      <c r="E309" s="0" t="n">
        <v>1788621.87</v>
      </c>
      <c r="F309" s="0" t="n">
        <v>124441.35</v>
      </c>
      <c r="G309" s="0" t="n">
        <v>1913063.22</v>
      </c>
      <c r="H309" s="0" t="n">
        <v>5.9673</v>
      </c>
      <c r="I309" s="0" t="n">
        <v>1913063.22</v>
      </c>
    </row>
    <row r="310" customFormat="false" ht="15" hidden="false" customHeight="false" outlineLevel="0" collapsed="false">
      <c r="A310" s="0" t="n">
        <v>309</v>
      </c>
      <c r="B310" s="0" t="n">
        <v>-27.46</v>
      </c>
      <c r="C310" s="0" t="n">
        <v>-27.78</v>
      </c>
      <c r="D310" s="0" t="n">
        <v>22.54</v>
      </c>
      <c r="E310" s="0" t="n">
        <v>370073.45</v>
      </c>
      <c r="F310" s="0" t="n">
        <v>5327.26</v>
      </c>
      <c r="G310" s="0" t="n">
        <v>375400.71</v>
      </c>
      <c r="H310" s="0" t="n">
        <v>1.171</v>
      </c>
      <c r="I310" s="0" t="n">
        <v>375400.71</v>
      </c>
    </row>
    <row r="311" customFormat="false" ht="15" hidden="false" customHeight="false" outlineLevel="0" collapsed="false">
      <c r="A311" s="0" t="n">
        <v>310</v>
      </c>
      <c r="B311" s="0" t="n">
        <v>-91.43</v>
      </c>
      <c r="C311" s="0" t="n">
        <v>15.86</v>
      </c>
      <c r="D311" s="0" t="n">
        <v>-25.52</v>
      </c>
      <c r="E311" s="0" t="n">
        <v>1232034.44</v>
      </c>
      <c r="F311" s="0" t="n">
        <v>59043.67</v>
      </c>
      <c r="G311" s="0" t="n">
        <v>1291078.11</v>
      </c>
      <c r="H311" s="0" t="n">
        <v>4.0272</v>
      </c>
      <c r="I311" s="0" t="n">
        <v>1291078.11</v>
      </c>
    </row>
    <row r="312" customFormat="false" ht="15" hidden="false" customHeight="false" outlineLevel="0" collapsed="false">
      <c r="A312" s="0" t="n">
        <v>311</v>
      </c>
      <c r="B312" s="0" t="n">
        <v>54.09</v>
      </c>
      <c r="C312" s="0" t="n">
        <v>23.53</v>
      </c>
      <c r="D312" s="0" t="n">
        <v>-32.04</v>
      </c>
      <c r="E312" s="0" t="n">
        <v>-728890.07</v>
      </c>
      <c r="F312" s="0" t="n">
        <v>20665.78</v>
      </c>
      <c r="G312" s="0" t="n">
        <v>-708224.3</v>
      </c>
      <c r="H312" s="0" t="n">
        <v>-2.2091</v>
      </c>
      <c r="I312" s="0" t="n">
        <v>708224.3</v>
      </c>
    </row>
    <row r="313" customFormat="false" ht="15" hidden="false" customHeight="false" outlineLevel="0" collapsed="false">
      <c r="A313" s="0" t="n">
        <v>312</v>
      </c>
      <c r="B313" s="0" t="n">
        <v>-43.83</v>
      </c>
      <c r="C313" s="0" t="n">
        <v>87.58</v>
      </c>
      <c r="D313" s="0" t="n">
        <v>-2.09</v>
      </c>
      <c r="E313" s="0" t="n">
        <v>590563.5</v>
      </c>
      <c r="F313" s="0" t="n">
        <v>13566.28</v>
      </c>
      <c r="G313" s="0" t="n">
        <v>604129.79</v>
      </c>
      <c r="H313" s="0" t="n">
        <v>1.8844</v>
      </c>
      <c r="I313" s="0" t="n">
        <v>604129.79</v>
      </c>
    </row>
    <row r="314" customFormat="false" ht="15" hidden="false" customHeight="false" outlineLevel="0" collapsed="false">
      <c r="A314" s="0" t="n">
        <v>313</v>
      </c>
      <c r="B314" s="0" t="n">
        <v>20.82</v>
      </c>
      <c r="C314" s="0" t="n">
        <v>-85.1</v>
      </c>
      <c r="D314" s="0" t="n">
        <v>-59.82</v>
      </c>
      <c r="E314" s="0" t="n">
        <v>-280568.02</v>
      </c>
      <c r="F314" s="0" t="n">
        <v>3061.99</v>
      </c>
      <c r="G314" s="0" t="n">
        <v>-277506.03</v>
      </c>
      <c r="H314" s="0" t="n">
        <v>-0.8656</v>
      </c>
      <c r="I314" s="0" t="n">
        <v>277506.03</v>
      </c>
    </row>
    <row r="315" customFormat="false" ht="15" hidden="false" customHeight="false" outlineLevel="0" collapsed="false">
      <c r="A315" s="0" t="n">
        <v>314</v>
      </c>
      <c r="B315" s="0" t="n">
        <v>-74.66</v>
      </c>
      <c r="C315" s="0" t="n">
        <v>61.53</v>
      </c>
      <c r="D315" s="0" t="n">
        <v>-48.59</v>
      </c>
      <c r="E315" s="0" t="n">
        <v>1006019.92</v>
      </c>
      <c r="F315" s="0" t="n">
        <v>39367.77</v>
      </c>
      <c r="G315" s="0" t="n">
        <v>1045387.69</v>
      </c>
      <c r="H315" s="0" t="n">
        <v>3.2608</v>
      </c>
      <c r="I315" s="0" t="n">
        <v>1045387.69</v>
      </c>
    </row>
    <row r="316" customFormat="false" ht="15" hidden="false" customHeight="false" outlineLevel="0" collapsed="false">
      <c r="A316" s="0" t="n">
        <v>315</v>
      </c>
      <c r="B316" s="0" t="n">
        <v>-37.19</v>
      </c>
      <c r="C316" s="0" t="n">
        <v>-14.29</v>
      </c>
      <c r="D316" s="0" t="n">
        <v>68.93</v>
      </c>
      <c r="E316" s="0" t="n">
        <v>501066.82</v>
      </c>
      <c r="F316" s="0" t="n">
        <v>9766.05</v>
      </c>
      <c r="G316" s="0" t="n">
        <v>510832.87</v>
      </c>
      <c r="H316" s="0" t="n">
        <v>1.5934</v>
      </c>
      <c r="I316" s="0" t="n">
        <v>510832.87</v>
      </c>
    </row>
    <row r="317" customFormat="false" ht="15" hidden="false" customHeight="false" outlineLevel="0" collapsed="false">
      <c r="A317" s="0" t="n">
        <v>316</v>
      </c>
      <c r="B317" s="0" t="n">
        <v>75.33</v>
      </c>
      <c r="C317" s="0" t="n">
        <v>38.84</v>
      </c>
      <c r="D317" s="0" t="n">
        <v>-73.31</v>
      </c>
      <c r="E317" s="0" t="n">
        <v>-1015132.92</v>
      </c>
      <c r="F317" s="0" t="n">
        <v>40084.22</v>
      </c>
      <c r="G317" s="0" t="n">
        <v>-975048.7</v>
      </c>
      <c r="H317" s="0" t="n">
        <v>-3.0414</v>
      </c>
      <c r="I317" s="0" t="n">
        <v>975048.7</v>
      </c>
    </row>
    <row r="318" customFormat="false" ht="15" hidden="false" customHeight="false" outlineLevel="0" collapsed="false">
      <c r="A318" s="0" t="n">
        <v>317</v>
      </c>
      <c r="B318" s="0" t="n">
        <v>9.82</v>
      </c>
      <c r="C318" s="0" t="n">
        <v>-135.47</v>
      </c>
      <c r="D318" s="0" t="n">
        <v>8.13</v>
      </c>
      <c r="E318" s="0" t="n">
        <v>-132289.94</v>
      </c>
      <c r="F318" s="0" t="n">
        <v>680.74</v>
      </c>
      <c r="G318" s="0" t="n">
        <v>-131609.2</v>
      </c>
      <c r="H318" s="0" t="n">
        <v>-0.4105</v>
      </c>
      <c r="I318" s="0" t="n">
        <v>131609.2</v>
      </c>
    </row>
    <row r="319" customFormat="false" ht="15" hidden="false" customHeight="false" outlineLevel="0" collapsed="false">
      <c r="A319" s="0" t="n">
        <v>318</v>
      </c>
      <c r="B319" s="0" t="n">
        <v>-134.46</v>
      </c>
      <c r="C319" s="0" t="n">
        <v>14.59</v>
      </c>
      <c r="D319" s="0" t="n">
        <v>-10.8</v>
      </c>
      <c r="E319" s="0" t="n">
        <v>1811875.39</v>
      </c>
      <c r="F319" s="0" t="n">
        <v>127698.06</v>
      </c>
      <c r="G319" s="0" t="n">
        <v>1939573.45</v>
      </c>
      <c r="H319" s="0" t="n">
        <v>6.0499</v>
      </c>
      <c r="I319" s="0" t="n">
        <v>1939573.45</v>
      </c>
    </row>
    <row r="320" customFormat="false" ht="15" hidden="false" customHeight="false" outlineLevel="0" collapsed="false">
      <c r="A320" s="0" t="n">
        <v>319</v>
      </c>
      <c r="B320" s="0" t="n">
        <v>-109.94</v>
      </c>
      <c r="C320" s="0" t="n">
        <v>-22.76</v>
      </c>
      <c r="D320" s="0" t="n">
        <v>7.49</v>
      </c>
      <c r="E320" s="0" t="n">
        <v>1481372.32</v>
      </c>
      <c r="F320" s="0" t="n">
        <v>85360.33</v>
      </c>
      <c r="G320" s="0" t="n">
        <v>1566732.65</v>
      </c>
      <c r="H320" s="0" t="n">
        <v>4.887</v>
      </c>
      <c r="I320" s="0" t="n">
        <v>1566732.65</v>
      </c>
    </row>
    <row r="321" customFormat="false" ht="15" hidden="false" customHeight="false" outlineLevel="0" collapsed="false">
      <c r="A321" s="0" t="n">
        <v>320</v>
      </c>
      <c r="B321" s="0" t="n">
        <v>43.47</v>
      </c>
      <c r="C321" s="0" t="n">
        <v>13.11</v>
      </c>
      <c r="D321" s="0" t="n">
        <v>27.31</v>
      </c>
      <c r="E321" s="0" t="n">
        <v>-585756.62</v>
      </c>
      <c r="F321" s="0" t="n">
        <v>13346.34</v>
      </c>
      <c r="G321" s="0" t="n">
        <v>-572410.29</v>
      </c>
      <c r="H321" s="0" t="n">
        <v>-1.7855</v>
      </c>
      <c r="I321" s="0" t="n">
        <v>572410.29</v>
      </c>
    </row>
    <row r="322" customFormat="false" ht="15" hidden="false" customHeight="false" outlineLevel="0" collapsed="false">
      <c r="A322" s="0" t="n">
        <v>321</v>
      </c>
      <c r="B322" s="0" t="n">
        <v>-21.28</v>
      </c>
      <c r="C322" s="0" t="n">
        <v>-77.75</v>
      </c>
      <c r="D322" s="0" t="n">
        <v>2.65</v>
      </c>
      <c r="E322" s="0" t="n">
        <v>286802.2</v>
      </c>
      <c r="F322" s="0" t="n">
        <v>3199.58</v>
      </c>
      <c r="G322" s="0" t="n">
        <v>290001.78</v>
      </c>
      <c r="H322" s="0" t="n">
        <v>0.9046</v>
      </c>
      <c r="I322" s="0" t="n">
        <v>290001.78</v>
      </c>
    </row>
    <row r="323" customFormat="false" ht="15" hidden="false" customHeight="false" outlineLevel="0" collapsed="false">
      <c r="A323" s="0" t="n">
        <v>322</v>
      </c>
      <c r="B323" s="0" t="n">
        <v>-117.14</v>
      </c>
      <c r="C323" s="0" t="n">
        <v>19.88</v>
      </c>
      <c r="D323" s="0" t="n">
        <v>-12.62</v>
      </c>
      <c r="E323" s="0" t="n">
        <v>1578403.66</v>
      </c>
      <c r="F323" s="0" t="n">
        <v>96908.93</v>
      </c>
      <c r="G323" s="0" t="n">
        <v>1675312.59</v>
      </c>
      <c r="H323" s="0" t="n">
        <v>5.2257</v>
      </c>
      <c r="I323" s="0" t="n">
        <v>1675312.59</v>
      </c>
    </row>
    <row r="324" customFormat="false" ht="15" hidden="false" customHeight="false" outlineLevel="0" collapsed="false">
      <c r="A324" s="0" t="n">
        <v>323</v>
      </c>
      <c r="B324" s="0" t="n">
        <v>-121.2</v>
      </c>
      <c r="C324" s="0" t="n">
        <v>69.85</v>
      </c>
      <c r="D324" s="0" t="n">
        <v>14.43</v>
      </c>
      <c r="E324" s="0" t="n">
        <v>1633144.64</v>
      </c>
      <c r="F324" s="0" t="n">
        <v>103747.33</v>
      </c>
      <c r="G324" s="0" t="n">
        <v>1736891.97</v>
      </c>
      <c r="H324" s="0" t="n">
        <v>5.4177</v>
      </c>
      <c r="I324" s="0" t="n">
        <v>1736891.97</v>
      </c>
    </row>
    <row r="325" customFormat="false" ht="15" hidden="false" customHeight="false" outlineLevel="0" collapsed="false">
      <c r="A325" s="0" t="n">
        <v>324</v>
      </c>
      <c r="B325" s="0" t="n">
        <v>46.88</v>
      </c>
      <c r="C325" s="0" t="n">
        <v>84.07</v>
      </c>
      <c r="D325" s="0" t="n">
        <v>-9.74</v>
      </c>
      <c r="E325" s="0" t="n">
        <v>-631737.74</v>
      </c>
      <c r="F325" s="0" t="n">
        <v>15523.92</v>
      </c>
      <c r="G325" s="0" t="n">
        <v>-616213.82</v>
      </c>
      <c r="H325" s="0" t="n">
        <v>-1.9221</v>
      </c>
      <c r="I325" s="0" t="n">
        <v>616213.82</v>
      </c>
    </row>
    <row r="326" customFormat="false" ht="15" hidden="false" customHeight="false" outlineLevel="0" collapsed="false">
      <c r="A326" s="0" t="n">
        <v>325</v>
      </c>
      <c r="B326" s="0" t="n">
        <v>189.61</v>
      </c>
      <c r="C326" s="0" t="n">
        <v>3.93</v>
      </c>
      <c r="D326" s="0" t="n">
        <v>-24.33</v>
      </c>
      <c r="E326" s="0" t="n">
        <v>-2554986.59</v>
      </c>
      <c r="F326" s="0" t="n">
        <v>253924.66</v>
      </c>
      <c r="G326" s="0" t="n">
        <v>-2301061.93</v>
      </c>
      <c r="H326" s="0" t="n">
        <v>-7.1775</v>
      </c>
      <c r="I326" s="0" t="n">
        <v>2301061.93</v>
      </c>
    </row>
    <row r="327" customFormat="false" ht="15" hidden="false" customHeight="false" outlineLevel="0" collapsed="false">
      <c r="A327" s="0" t="n">
        <v>326</v>
      </c>
      <c r="B327" s="0" t="n">
        <v>13.54</v>
      </c>
      <c r="C327" s="0" t="n">
        <v>18.67</v>
      </c>
      <c r="D327" s="0" t="n">
        <v>20.77</v>
      </c>
      <c r="E327" s="0" t="n">
        <v>-182480.27</v>
      </c>
      <c r="F327" s="0" t="n">
        <v>1295.27</v>
      </c>
      <c r="G327" s="0" t="n">
        <v>-181185.01</v>
      </c>
      <c r="H327" s="0" t="n">
        <v>-0.5652</v>
      </c>
      <c r="I327" s="0" t="n">
        <v>181185.01</v>
      </c>
    </row>
    <row r="328" customFormat="false" ht="15" hidden="false" customHeight="false" outlineLevel="0" collapsed="false">
      <c r="A328" s="0" t="n">
        <v>327</v>
      </c>
      <c r="B328" s="0" t="n">
        <v>-22.46</v>
      </c>
      <c r="C328" s="0" t="n">
        <v>-50.54</v>
      </c>
      <c r="D328" s="0" t="n">
        <v>-15.47</v>
      </c>
      <c r="E328" s="0" t="n">
        <v>302680.98</v>
      </c>
      <c r="F328" s="0" t="n">
        <v>3563.67</v>
      </c>
      <c r="G328" s="0" t="n">
        <v>306244.65</v>
      </c>
      <c r="H328" s="0" t="n">
        <v>0.9552</v>
      </c>
      <c r="I328" s="0" t="n">
        <v>306244.65</v>
      </c>
    </row>
    <row r="329" customFormat="false" ht="15" hidden="false" customHeight="false" outlineLevel="0" collapsed="false">
      <c r="A329" s="0" t="n">
        <v>328</v>
      </c>
      <c r="B329" s="0" t="n">
        <v>-54.53</v>
      </c>
      <c r="C329" s="0" t="n">
        <v>1.24</v>
      </c>
      <c r="D329" s="0" t="n">
        <v>-36.84</v>
      </c>
      <c r="E329" s="0" t="n">
        <v>734777.8</v>
      </c>
      <c r="F329" s="0" t="n">
        <v>21000.99</v>
      </c>
      <c r="G329" s="0" t="n">
        <v>755778.78</v>
      </c>
      <c r="H329" s="0" t="n">
        <v>2.3574</v>
      </c>
      <c r="I329" s="0" t="n">
        <v>755778.78</v>
      </c>
    </row>
    <row r="330" customFormat="false" ht="15" hidden="false" customHeight="false" outlineLevel="0" collapsed="false">
      <c r="A330" s="0" t="n">
        <v>329</v>
      </c>
      <c r="B330" s="0" t="n">
        <v>12.63</v>
      </c>
      <c r="C330" s="0" t="n">
        <v>-26.51</v>
      </c>
      <c r="D330" s="0" t="n">
        <v>-60.5</v>
      </c>
      <c r="E330" s="0" t="n">
        <v>-170152.27</v>
      </c>
      <c r="F330" s="0" t="n">
        <v>1126.17</v>
      </c>
      <c r="G330" s="0" t="n">
        <v>-169026.11</v>
      </c>
      <c r="H330" s="0" t="n">
        <v>-0.5272</v>
      </c>
      <c r="I330" s="0" t="n">
        <v>169026.11</v>
      </c>
    </row>
    <row r="331" customFormat="false" ht="15" hidden="false" customHeight="false" outlineLevel="0" collapsed="false">
      <c r="A331" s="0" t="n">
        <v>330</v>
      </c>
      <c r="B331" s="0" t="n">
        <v>96.73</v>
      </c>
      <c r="C331" s="0" t="n">
        <v>98.74</v>
      </c>
      <c r="D331" s="0" t="n">
        <v>-44.16</v>
      </c>
      <c r="E331" s="0" t="n">
        <v>-1303375.76</v>
      </c>
      <c r="F331" s="0" t="n">
        <v>66079.52</v>
      </c>
      <c r="G331" s="0" t="n">
        <v>-1237296.23</v>
      </c>
      <c r="H331" s="0" t="n">
        <v>-3.8594</v>
      </c>
      <c r="I331" s="0" t="n">
        <v>1237296.23</v>
      </c>
    </row>
    <row r="332" customFormat="false" ht="15" hidden="false" customHeight="false" outlineLevel="0" collapsed="false">
      <c r="A332" s="0" t="n">
        <v>331</v>
      </c>
      <c r="B332" s="0" t="n">
        <v>-150.64</v>
      </c>
      <c r="C332" s="0" t="n">
        <v>-7.67</v>
      </c>
      <c r="D332" s="0" t="n">
        <v>30.43</v>
      </c>
      <c r="E332" s="0" t="n">
        <v>2029812.37</v>
      </c>
      <c r="F332" s="0" t="n">
        <v>160265.27</v>
      </c>
      <c r="G332" s="0" t="n">
        <v>2190077.65</v>
      </c>
      <c r="H332" s="0" t="n">
        <v>6.8313</v>
      </c>
      <c r="I332" s="0" t="n">
        <v>2190077.65</v>
      </c>
    </row>
    <row r="333" customFormat="false" ht="15" hidden="false" customHeight="false" outlineLevel="0" collapsed="false">
      <c r="A333" s="0" t="n">
        <v>332</v>
      </c>
      <c r="B333" s="0" t="n">
        <v>-37.43</v>
      </c>
      <c r="C333" s="0" t="n">
        <v>10.04</v>
      </c>
      <c r="D333" s="0" t="n">
        <v>-47.33</v>
      </c>
      <c r="E333" s="0" t="n">
        <v>504319.01</v>
      </c>
      <c r="F333" s="0" t="n">
        <v>9893.23</v>
      </c>
      <c r="G333" s="0" t="n">
        <v>514212.24</v>
      </c>
      <c r="H333" s="0" t="n">
        <v>1.6039</v>
      </c>
      <c r="I333" s="0" t="n">
        <v>514212.24</v>
      </c>
    </row>
    <row r="334" customFormat="false" ht="15" hidden="false" customHeight="false" outlineLevel="0" collapsed="false">
      <c r="A334" s="0" t="n">
        <v>333</v>
      </c>
      <c r="B334" s="0" t="n">
        <v>-37.75</v>
      </c>
      <c r="C334" s="0" t="n">
        <v>-2.07</v>
      </c>
      <c r="D334" s="0" t="n">
        <v>-16.02</v>
      </c>
      <c r="E334" s="0" t="n">
        <v>508729.02</v>
      </c>
      <c r="F334" s="0" t="n">
        <v>10067.01</v>
      </c>
      <c r="G334" s="0" t="n">
        <v>518796.03</v>
      </c>
      <c r="H334" s="0" t="n">
        <v>1.6182</v>
      </c>
      <c r="I334" s="0" t="n">
        <v>518796.03</v>
      </c>
    </row>
    <row r="335" customFormat="false" ht="15" hidden="false" customHeight="false" outlineLevel="0" collapsed="false">
      <c r="A335" s="0" t="n">
        <v>334</v>
      </c>
      <c r="B335" s="0" t="n">
        <v>86.15</v>
      </c>
      <c r="C335" s="0" t="n">
        <v>7.48</v>
      </c>
      <c r="D335" s="0" t="n">
        <v>-31.7</v>
      </c>
      <c r="E335" s="0" t="n">
        <v>-1160810.47</v>
      </c>
      <c r="F335" s="0" t="n">
        <v>52414.36</v>
      </c>
      <c r="G335" s="0" t="n">
        <v>-1108396.12</v>
      </c>
      <c r="H335" s="0" t="n">
        <v>-3.4573</v>
      </c>
      <c r="I335" s="0" t="n">
        <v>1108396.12</v>
      </c>
    </row>
    <row r="336" customFormat="false" ht="15" hidden="false" customHeight="false" outlineLevel="0" collapsed="false">
      <c r="A336" s="0" t="n">
        <v>335</v>
      </c>
      <c r="B336" s="0" t="n">
        <v>-21.54</v>
      </c>
      <c r="C336" s="0" t="n">
        <v>8.54</v>
      </c>
      <c r="D336" s="0" t="n">
        <v>15.17</v>
      </c>
      <c r="E336" s="0" t="n">
        <v>290258.54</v>
      </c>
      <c r="F336" s="0" t="n">
        <v>3277.16</v>
      </c>
      <c r="G336" s="0" t="n">
        <v>293535.7</v>
      </c>
      <c r="H336" s="0" t="n">
        <v>0.9156</v>
      </c>
      <c r="I336" s="0" t="n">
        <v>293535.7</v>
      </c>
    </row>
    <row r="337" customFormat="false" ht="15" hidden="false" customHeight="false" outlineLevel="0" collapsed="false">
      <c r="A337" s="0" t="n">
        <v>336</v>
      </c>
      <c r="B337" s="0" t="n">
        <v>-26.76</v>
      </c>
      <c r="C337" s="0" t="n">
        <v>-123.07</v>
      </c>
      <c r="D337" s="0" t="n">
        <v>-37.36</v>
      </c>
      <c r="E337" s="0" t="n">
        <v>360637.06</v>
      </c>
      <c r="F337" s="0" t="n">
        <v>5059.04</v>
      </c>
      <c r="G337" s="0" t="n">
        <v>365696.11</v>
      </c>
      <c r="H337" s="0" t="n">
        <v>1.1407</v>
      </c>
      <c r="I337" s="0" t="n">
        <v>365696.11</v>
      </c>
    </row>
    <row r="338" customFormat="false" ht="15" hidden="false" customHeight="false" outlineLevel="0" collapsed="false">
      <c r="A338" s="0" t="n">
        <v>337</v>
      </c>
      <c r="B338" s="0" t="n">
        <v>177.75</v>
      </c>
      <c r="C338" s="0" t="n">
        <v>-11.2</v>
      </c>
      <c r="D338" s="0" t="n">
        <v>57.21</v>
      </c>
      <c r="E338" s="0" t="n">
        <v>-2395143</v>
      </c>
      <c r="F338" s="0" t="n">
        <v>223146.73</v>
      </c>
      <c r="G338" s="0" t="n">
        <v>-2171996.27</v>
      </c>
      <c r="H338" s="0" t="n">
        <v>-6.7749</v>
      </c>
      <c r="I338" s="0" t="n">
        <v>2171996.27</v>
      </c>
    </row>
    <row r="339" customFormat="false" ht="15" hidden="false" customHeight="false" outlineLevel="0" collapsed="false">
      <c r="A339" s="0" t="n">
        <v>338</v>
      </c>
      <c r="B339" s="0" t="n">
        <v>-188.75</v>
      </c>
      <c r="C339" s="0" t="n">
        <v>-91.05</v>
      </c>
      <c r="D339" s="0" t="n">
        <v>30.34</v>
      </c>
      <c r="E339" s="0" t="n">
        <v>2543399.93</v>
      </c>
      <c r="F339" s="0" t="n">
        <v>251626.83</v>
      </c>
      <c r="G339" s="0" t="n">
        <v>2795026.76</v>
      </c>
      <c r="H339" s="0" t="n">
        <v>8.7183</v>
      </c>
      <c r="I339" s="0" t="n">
        <v>2795026.76</v>
      </c>
    </row>
    <row r="340" customFormat="false" ht="15" hidden="false" customHeight="false" outlineLevel="0" collapsed="false">
      <c r="A340" s="0" t="n">
        <v>339</v>
      </c>
      <c r="B340" s="0" t="n">
        <v>-61.88</v>
      </c>
      <c r="C340" s="0" t="n">
        <v>-96.86</v>
      </c>
      <c r="D340" s="0" t="n">
        <v>-4.63</v>
      </c>
      <c r="E340" s="0" t="n">
        <v>833859.65</v>
      </c>
      <c r="F340" s="0" t="n">
        <v>27046.65</v>
      </c>
      <c r="G340" s="0" t="n">
        <v>860906.3</v>
      </c>
      <c r="H340" s="0" t="n">
        <v>2.6854</v>
      </c>
      <c r="I340" s="0" t="n">
        <v>860906.3</v>
      </c>
    </row>
    <row r="341" customFormat="false" ht="15" hidden="false" customHeight="false" outlineLevel="0" collapsed="false">
      <c r="A341" s="0" t="n">
        <v>340</v>
      </c>
      <c r="B341" s="0" t="n">
        <v>-85.39</v>
      </c>
      <c r="C341" s="0" t="n">
        <v>-52.23</v>
      </c>
      <c r="D341" s="0" t="n">
        <v>46.65</v>
      </c>
      <c r="E341" s="0" t="n">
        <v>1150565.16</v>
      </c>
      <c r="F341" s="0" t="n">
        <v>51493.22</v>
      </c>
      <c r="G341" s="0" t="n">
        <v>1202058.39</v>
      </c>
      <c r="H341" s="0" t="n">
        <v>3.7495</v>
      </c>
      <c r="I341" s="0" t="n">
        <v>1202058.39</v>
      </c>
    </row>
    <row r="342" customFormat="false" ht="15" hidden="false" customHeight="false" outlineLevel="0" collapsed="false">
      <c r="A342" s="0" t="n">
        <v>341</v>
      </c>
      <c r="B342" s="0" t="n">
        <v>111.19</v>
      </c>
      <c r="C342" s="0" t="n">
        <v>-40.28</v>
      </c>
      <c r="D342" s="0" t="n">
        <v>18.42</v>
      </c>
      <c r="E342" s="0" t="n">
        <v>-1498253.78</v>
      </c>
      <c r="F342" s="0" t="n">
        <v>87316.92</v>
      </c>
      <c r="G342" s="0" t="n">
        <v>-1410936.86</v>
      </c>
      <c r="H342" s="0" t="n">
        <v>-4.401</v>
      </c>
      <c r="I342" s="0" t="n">
        <v>1410936.86</v>
      </c>
    </row>
    <row r="343" customFormat="false" ht="15" hidden="false" customHeight="false" outlineLevel="0" collapsed="false">
      <c r="A343" s="0" t="n">
        <v>342</v>
      </c>
      <c r="B343" s="0" t="n">
        <v>81.1</v>
      </c>
      <c r="C343" s="0" t="n">
        <v>-64.65</v>
      </c>
      <c r="D343" s="0" t="n">
        <v>-49.29</v>
      </c>
      <c r="E343" s="0" t="n">
        <v>-1092863.79</v>
      </c>
      <c r="F343" s="0" t="n">
        <v>46457.91</v>
      </c>
      <c r="G343" s="0" t="n">
        <v>-1046405.88</v>
      </c>
      <c r="H343" s="0" t="n">
        <v>-3.264</v>
      </c>
      <c r="I343" s="0" t="n">
        <v>1046405.88</v>
      </c>
    </row>
    <row r="344" customFormat="false" ht="15" hidden="false" customHeight="false" outlineLevel="0" collapsed="false">
      <c r="A344" s="0" t="n">
        <v>343</v>
      </c>
      <c r="B344" s="0" t="n">
        <v>-98.52</v>
      </c>
      <c r="C344" s="0" t="n">
        <v>-48.86</v>
      </c>
      <c r="D344" s="0" t="n">
        <v>-25.81</v>
      </c>
      <c r="E344" s="0" t="n">
        <v>1327521.68</v>
      </c>
      <c r="F344" s="0" t="n">
        <v>68550.54</v>
      </c>
      <c r="G344" s="0" t="n">
        <v>1396072.22</v>
      </c>
      <c r="H344" s="0" t="n">
        <v>4.3546</v>
      </c>
      <c r="I344" s="0" t="n">
        <v>1396072.22</v>
      </c>
    </row>
    <row r="345" customFormat="false" ht="15" hidden="false" customHeight="false" outlineLevel="0" collapsed="false">
      <c r="A345" s="0" t="n">
        <v>344</v>
      </c>
      <c r="B345" s="0" t="n">
        <v>32.72</v>
      </c>
      <c r="C345" s="0" t="n">
        <v>27.4</v>
      </c>
      <c r="D345" s="0" t="n">
        <v>-40.16</v>
      </c>
      <c r="E345" s="0" t="n">
        <v>-440953.36</v>
      </c>
      <c r="F345" s="0" t="n">
        <v>7563.33</v>
      </c>
      <c r="G345" s="0" t="n">
        <v>-433390.03</v>
      </c>
      <c r="H345" s="0" t="n">
        <v>-1.3518</v>
      </c>
      <c r="I345" s="0" t="n">
        <v>433390.03</v>
      </c>
    </row>
    <row r="346" customFormat="false" ht="15" hidden="false" customHeight="false" outlineLevel="0" collapsed="false">
      <c r="A346" s="0" t="n">
        <v>345</v>
      </c>
      <c r="B346" s="0" t="n">
        <v>32.79</v>
      </c>
      <c r="C346" s="0" t="n">
        <v>-101.85</v>
      </c>
      <c r="D346" s="0" t="n">
        <v>32.15</v>
      </c>
      <c r="E346" s="0" t="n">
        <v>-441819.87</v>
      </c>
      <c r="F346" s="0" t="n">
        <v>7593.08</v>
      </c>
      <c r="G346" s="0" t="n">
        <v>-434226.79</v>
      </c>
      <c r="H346" s="0" t="n">
        <v>-1.3544</v>
      </c>
      <c r="I346" s="0" t="n">
        <v>434226.79</v>
      </c>
    </row>
    <row r="347" customFormat="false" ht="15" hidden="false" customHeight="false" outlineLevel="0" collapsed="false">
      <c r="A347" s="0" t="n">
        <v>346</v>
      </c>
      <c r="B347" s="0" t="n">
        <v>62.73</v>
      </c>
      <c r="C347" s="0" t="n">
        <v>-61.37</v>
      </c>
      <c r="D347" s="0" t="n">
        <v>30.47</v>
      </c>
      <c r="E347" s="0" t="n">
        <v>-845235.88</v>
      </c>
      <c r="F347" s="0" t="n">
        <v>27789.68</v>
      </c>
      <c r="G347" s="0" t="n">
        <v>-817446.21</v>
      </c>
      <c r="H347" s="0" t="n">
        <v>-2.5498</v>
      </c>
      <c r="I347" s="0" t="n">
        <v>817446.21</v>
      </c>
    </row>
    <row r="348" customFormat="false" ht="15" hidden="false" customHeight="false" outlineLevel="0" collapsed="false">
      <c r="A348" s="0" t="n">
        <v>347</v>
      </c>
      <c r="B348" s="0" t="n">
        <v>88.31</v>
      </c>
      <c r="C348" s="0" t="n">
        <v>-41.53</v>
      </c>
      <c r="D348" s="0" t="n">
        <v>-20.13</v>
      </c>
      <c r="E348" s="0" t="n">
        <v>-1190037.87</v>
      </c>
      <c r="F348" s="0" t="n">
        <v>55087.01</v>
      </c>
      <c r="G348" s="0" t="n">
        <v>-1134950.86</v>
      </c>
      <c r="H348" s="0" t="n">
        <v>-3.5402</v>
      </c>
      <c r="I348" s="0" t="n">
        <v>1134950.86</v>
      </c>
    </row>
    <row r="349" customFormat="false" ht="15" hidden="false" customHeight="false" outlineLevel="0" collapsed="false">
      <c r="A349" s="0" t="n">
        <v>348</v>
      </c>
      <c r="B349" s="0" t="n">
        <v>-17.58</v>
      </c>
      <c r="C349" s="0" t="n">
        <v>-43.15</v>
      </c>
      <c r="D349" s="0" t="n">
        <v>-1.9</v>
      </c>
      <c r="E349" s="0" t="n">
        <v>236883.98</v>
      </c>
      <c r="F349" s="0" t="n">
        <v>2182.72</v>
      </c>
      <c r="G349" s="0" t="n">
        <v>239066.71</v>
      </c>
      <c r="H349" s="0" t="n">
        <v>0.7457</v>
      </c>
      <c r="I349" s="0" t="n">
        <v>239066.71</v>
      </c>
    </row>
    <row r="350" customFormat="false" ht="15" hidden="false" customHeight="false" outlineLevel="0" collapsed="false">
      <c r="A350" s="0" t="n">
        <v>349</v>
      </c>
      <c r="B350" s="0" t="n">
        <v>-76.68</v>
      </c>
      <c r="C350" s="0" t="n">
        <v>59.82</v>
      </c>
      <c r="D350" s="0" t="n">
        <v>62.39</v>
      </c>
      <c r="E350" s="0" t="n">
        <v>1033247.63</v>
      </c>
      <c r="F350" s="0" t="n">
        <v>41527.56</v>
      </c>
      <c r="G350" s="0" t="n">
        <v>1074775.19</v>
      </c>
      <c r="H350" s="0" t="n">
        <v>3.3525</v>
      </c>
      <c r="I350" s="0" t="n">
        <v>1074775.19</v>
      </c>
    </row>
    <row r="351" customFormat="false" ht="15" hidden="false" customHeight="false" outlineLevel="0" collapsed="false">
      <c r="A351" s="0" t="n">
        <v>350</v>
      </c>
      <c r="B351" s="0" t="n">
        <v>30.83</v>
      </c>
      <c r="C351" s="0" t="n">
        <v>-37.48</v>
      </c>
      <c r="D351" s="0" t="n">
        <v>-5.76</v>
      </c>
      <c r="E351" s="0" t="n">
        <v>-415419.56</v>
      </c>
      <c r="F351" s="0" t="n">
        <v>6712.77</v>
      </c>
      <c r="G351" s="0" t="n">
        <v>-408706.8</v>
      </c>
      <c r="H351" s="0" t="n">
        <v>-1.2748</v>
      </c>
      <c r="I351" s="0" t="n">
        <v>408706.8</v>
      </c>
    </row>
    <row r="352" customFormat="false" ht="15" hidden="false" customHeight="false" outlineLevel="0" collapsed="false">
      <c r="A352" s="0" t="n">
        <v>351</v>
      </c>
      <c r="B352" s="0" t="n">
        <v>42.05</v>
      </c>
      <c r="C352" s="0" t="n">
        <v>-37.01</v>
      </c>
      <c r="D352" s="0" t="n">
        <v>-31.48</v>
      </c>
      <c r="E352" s="0" t="n">
        <v>-566628.6</v>
      </c>
      <c r="F352" s="0" t="n">
        <v>12488.91</v>
      </c>
      <c r="G352" s="0" t="n">
        <v>-554139.69</v>
      </c>
      <c r="H352" s="0" t="n">
        <v>-1.7285</v>
      </c>
      <c r="I352" s="0" t="n">
        <v>554139.69</v>
      </c>
    </row>
    <row r="353" customFormat="false" ht="15" hidden="false" customHeight="false" outlineLevel="0" collapsed="false">
      <c r="A353" s="0" t="n">
        <v>352</v>
      </c>
      <c r="B353" s="0" t="n">
        <v>55.35</v>
      </c>
      <c r="C353" s="0" t="n">
        <v>-10.84</v>
      </c>
      <c r="D353" s="0" t="n">
        <v>-57.22</v>
      </c>
      <c r="E353" s="0" t="n">
        <v>-745870.85</v>
      </c>
      <c r="F353" s="0" t="n">
        <v>21639.88</v>
      </c>
      <c r="G353" s="0" t="n">
        <v>-724230.96</v>
      </c>
      <c r="H353" s="0" t="n">
        <v>-2.259</v>
      </c>
      <c r="I353" s="0" t="n">
        <v>724230.96</v>
      </c>
    </row>
    <row r="354" customFormat="false" ht="15" hidden="false" customHeight="false" outlineLevel="0" collapsed="false">
      <c r="A354" s="0" t="n">
        <v>353</v>
      </c>
      <c r="B354" s="0" t="n">
        <v>-7.29</v>
      </c>
      <c r="C354" s="0" t="n">
        <v>59.4</v>
      </c>
      <c r="D354" s="0" t="n">
        <v>35.92</v>
      </c>
      <c r="E354" s="0" t="n">
        <v>98251.41</v>
      </c>
      <c r="F354" s="0" t="n">
        <v>375.5</v>
      </c>
      <c r="G354" s="0" t="n">
        <v>98626.91</v>
      </c>
      <c r="H354" s="0" t="n">
        <v>0.3076</v>
      </c>
      <c r="I354" s="0" t="n">
        <v>98626.91</v>
      </c>
    </row>
    <row r="355" customFormat="false" ht="15" hidden="false" customHeight="false" outlineLevel="0" collapsed="false">
      <c r="A355" s="0" t="n">
        <v>354</v>
      </c>
      <c r="B355" s="0" t="n">
        <v>117.98</v>
      </c>
      <c r="C355" s="0" t="n">
        <v>50.9</v>
      </c>
      <c r="D355" s="0" t="n">
        <v>-11.8</v>
      </c>
      <c r="E355" s="0" t="n">
        <v>-1589709.03</v>
      </c>
      <c r="F355" s="0" t="n">
        <v>98302.13</v>
      </c>
      <c r="G355" s="0" t="n">
        <v>-1491406.9</v>
      </c>
      <c r="H355" s="0" t="n">
        <v>-4.652</v>
      </c>
      <c r="I355" s="0" t="n">
        <v>1491406.9</v>
      </c>
    </row>
    <row r="356" customFormat="false" ht="15" hidden="false" customHeight="false" outlineLevel="0" collapsed="false">
      <c r="A356" s="0" t="n">
        <v>355</v>
      </c>
      <c r="B356" s="0" t="n">
        <v>-9.18</v>
      </c>
      <c r="C356" s="0" t="n">
        <v>-2.25</v>
      </c>
      <c r="D356" s="0" t="n">
        <v>-11.68</v>
      </c>
      <c r="E356" s="0" t="n">
        <v>123750.35</v>
      </c>
      <c r="F356" s="0" t="n">
        <v>595.69</v>
      </c>
      <c r="G356" s="0" t="n">
        <v>124346.04</v>
      </c>
      <c r="H356" s="0" t="n">
        <v>0.3879</v>
      </c>
      <c r="I356" s="0" t="n">
        <v>124346.04</v>
      </c>
    </row>
    <row r="357" customFormat="false" ht="15" hidden="false" customHeight="false" outlineLevel="0" collapsed="false">
      <c r="A357" s="0" t="n">
        <v>356</v>
      </c>
      <c r="B357" s="0" t="n">
        <v>62.22</v>
      </c>
      <c r="C357" s="0" t="n">
        <v>-1.76</v>
      </c>
      <c r="D357" s="0" t="n">
        <v>-39.59</v>
      </c>
      <c r="E357" s="0" t="n">
        <v>-838372.97</v>
      </c>
      <c r="F357" s="0" t="n">
        <v>27340.23</v>
      </c>
      <c r="G357" s="0" t="n">
        <v>-811032.74</v>
      </c>
      <c r="H357" s="0" t="n">
        <v>-2.5298</v>
      </c>
      <c r="I357" s="0" t="n">
        <v>811032.74</v>
      </c>
    </row>
    <row r="358" customFormat="false" ht="15" hidden="false" customHeight="false" outlineLevel="0" collapsed="false">
      <c r="A358" s="0" t="n">
        <v>357</v>
      </c>
      <c r="B358" s="0" t="n">
        <v>-51.88</v>
      </c>
      <c r="C358" s="0" t="n">
        <v>-114.86</v>
      </c>
      <c r="D358" s="0" t="n">
        <v>-29.3</v>
      </c>
      <c r="E358" s="0" t="n">
        <v>699136.59</v>
      </c>
      <c r="F358" s="0" t="n">
        <v>19013.05</v>
      </c>
      <c r="G358" s="0" t="n">
        <v>718149.63</v>
      </c>
      <c r="H358" s="0" t="n">
        <v>2.2401</v>
      </c>
      <c r="I358" s="0" t="n">
        <v>718149.63</v>
      </c>
    </row>
    <row r="359" customFormat="false" ht="15" hidden="false" customHeight="false" outlineLevel="0" collapsed="false">
      <c r="A359" s="0" t="n">
        <v>358</v>
      </c>
      <c r="B359" s="0" t="n">
        <v>-166.38</v>
      </c>
      <c r="C359" s="0" t="n">
        <v>4.27</v>
      </c>
      <c r="D359" s="0" t="n">
        <v>25.17</v>
      </c>
      <c r="E359" s="0" t="n">
        <v>2241998.29</v>
      </c>
      <c r="F359" s="0" t="n">
        <v>195523.15</v>
      </c>
      <c r="G359" s="0" t="n">
        <v>2437521.43</v>
      </c>
      <c r="H359" s="0" t="n">
        <v>7.6032</v>
      </c>
      <c r="I359" s="0" t="n">
        <v>2437521.43</v>
      </c>
    </row>
    <row r="360" customFormat="false" ht="15" hidden="false" customHeight="false" outlineLevel="0" collapsed="false">
      <c r="A360" s="0" t="n">
        <v>359</v>
      </c>
      <c r="B360" s="0" t="n">
        <v>-91.61</v>
      </c>
      <c r="C360" s="0" t="n">
        <v>-79.63</v>
      </c>
      <c r="D360" s="0" t="n">
        <v>-14.78</v>
      </c>
      <c r="E360" s="0" t="n">
        <v>1234428.18</v>
      </c>
      <c r="F360" s="0" t="n">
        <v>59273.32</v>
      </c>
      <c r="G360" s="0" t="n">
        <v>1293701.51</v>
      </c>
      <c r="H360" s="0" t="n">
        <v>4.0353</v>
      </c>
      <c r="I360" s="0" t="n">
        <v>1293701.51</v>
      </c>
    </row>
    <row r="361" customFormat="false" ht="15" hidden="false" customHeight="false" outlineLevel="0" collapsed="false">
      <c r="A361" s="0" t="n">
        <v>360</v>
      </c>
      <c r="B361" s="0" t="n">
        <v>-24.24</v>
      </c>
      <c r="C361" s="0" t="n">
        <v>-58.79</v>
      </c>
      <c r="D361" s="0" t="n">
        <v>34.11</v>
      </c>
      <c r="E361" s="0" t="n">
        <v>326661.64</v>
      </c>
      <c r="F361" s="0" t="n">
        <v>4150.72</v>
      </c>
      <c r="G361" s="0" t="n">
        <v>330812.36</v>
      </c>
      <c r="H361" s="0" t="n">
        <v>1.0319</v>
      </c>
      <c r="I361" s="0" t="n">
        <v>330812.36</v>
      </c>
    </row>
    <row r="362" customFormat="false" ht="15" hidden="false" customHeight="false" outlineLevel="0" collapsed="false">
      <c r="A362" s="0" t="n">
        <v>361</v>
      </c>
      <c r="B362" s="0" t="n">
        <v>95.15</v>
      </c>
      <c r="C362" s="0" t="n">
        <v>37.01</v>
      </c>
      <c r="D362" s="0" t="n">
        <v>18.4</v>
      </c>
      <c r="E362" s="0" t="n">
        <v>-1282102.75</v>
      </c>
      <c r="F362" s="0" t="n">
        <v>63940.1</v>
      </c>
      <c r="G362" s="0" t="n">
        <v>-1218162.65</v>
      </c>
      <c r="H362" s="0" t="n">
        <v>-3.7997</v>
      </c>
      <c r="I362" s="0" t="n">
        <v>1218162.65</v>
      </c>
    </row>
    <row r="363" customFormat="false" ht="15" hidden="false" customHeight="false" outlineLevel="0" collapsed="false">
      <c r="A363" s="0" t="n">
        <v>362</v>
      </c>
      <c r="B363" s="0" t="n">
        <v>162.45</v>
      </c>
      <c r="C363" s="0" t="n">
        <v>-27</v>
      </c>
      <c r="D363" s="0" t="n">
        <v>4.78</v>
      </c>
      <c r="E363" s="0" t="n">
        <v>-2189041.92</v>
      </c>
      <c r="F363" s="0" t="n">
        <v>186395.66</v>
      </c>
      <c r="G363" s="0" t="n">
        <v>-2002646.27</v>
      </c>
      <c r="H363" s="0" t="n">
        <v>-6.2467</v>
      </c>
      <c r="I363" s="0" t="n">
        <v>2002646.27</v>
      </c>
    </row>
    <row r="364" customFormat="false" ht="15" hidden="false" customHeight="false" outlineLevel="0" collapsed="false">
      <c r="A364" s="0" t="n">
        <v>363</v>
      </c>
      <c r="B364" s="0" t="n">
        <v>-92.03</v>
      </c>
      <c r="C364" s="0" t="n">
        <v>23.2</v>
      </c>
      <c r="D364" s="0" t="n">
        <v>26.4</v>
      </c>
      <c r="E364" s="0" t="n">
        <v>1240155.85</v>
      </c>
      <c r="F364" s="0" t="n">
        <v>59824.65</v>
      </c>
      <c r="G364" s="0" t="n">
        <v>1299980.5</v>
      </c>
      <c r="H364" s="0" t="n">
        <v>4.0549</v>
      </c>
      <c r="I364" s="0" t="n">
        <v>1299980.5</v>
      </c>
    </row>
    <row r="365" customFormat="false" ht="15" hidden="false" customHeight="false" outlineLevel="0" collapsed="false">
      <c r="A365" s="0" t="n">
        <v>364</v>
      </c>
      <c r="B365" s="0" t="n">
        <v>57.61</v>
      </c>
      <c r="C365" s="0" t="n">
        <v>23.79</v>
      </c>
      <c r="D365" s="0" t="n">
        <v>15.21</v>
      </c>
      <c r="E365" s="0" t="n">
        <v>-776288.83</v>
      </c>
      <c r="F365" s="0" t="n">
        <v>23440.9</v>
      </c>
      <c r="G365" s="0" t="n">
        <v>-752847.92</v>
      </c>
      <c r="H365" s="0" t="n">
        <v>-2.3483</v>
      </c>
      <c r="I365" s="0" t="n">
        <v>752847.92</v>
      </c>
    </row>
    <row r="366" customFormat="false" ht="15" hidden="false" customHeight="false" outlineLevel="0" collapsed="false">
      <c r="A366" s="0" t="n">
        <v>365</v>
      </c>
      <c r="B366" s="0" t="n">
        <v>132.58</v>
      </c>
      <c r="C366" s="0" t="n">
        <v>35.4</v>
      </c>
      <c r="D366" s="0" t="n">
        <v>-31.44</v>
      </c>
      <c r="E366" s="0" t="n">
        <v>-1786495.88</v>
      </c>
      <c r="F366" s="0" t="n">
        <v>124145.7</v>
      </c>
      <c r="G366" s="0" t="n">
        <v>-1662350.18</v>
      </c>
      <c r="H366" s="0" t="n">
        <v>-5.1852</v>
      </c>
      <c r="I366" s="0" t="n">
        <v>1662350.18</v>
      </c>
    </row>
    <row r="367" customFormat="false" ht="15" hidden="false" customHeight="false" outlineLevel="0" collapsed="false">
      <c r="A367" s="0" t="n">
        <v>366</v>
      </c>
      <c r="B367" s="0" t="n">
        <v>73.41</v>
      </c>
      <c r="C367" s="0" t="n">
        <v>18.26</v>
      </c>
      <c r="D367" s="0" t="n">
        <v>-59.84</v>
      </c>
      <c r="E367" s="0" t="n">
        <v>-989176.58</v>
      </c>
      <c r="F367" s="0" t="n">
        <v>38060.57</v>
      </c>
      <c r="G367" s="0" t="n">
        <v>-951116.01</v>
      </c>
      <c r="H367" s="0" t="n">
        <v>-2.9667</v>
      </c>
      <c r="I367" s="0" t="n">
        <v>951116.01</v>
      </c>
    </row>
    <row r="368" customFormat="false" ht="15" hidden="false" customHeight="false" outlineLevel="0" collapsed="false">
      <c r="A368" s="0" t="n">
        <v>367</v>
      </c>
      <c r="B368" s="0" t="n">
        <v>-122.76</v>
      </c>
      <c r="C368" s="0" t="n">
        <v>-35.94</v>
      </c>
      <c r="D368" s="0" t="n">
        <v>45.84</v>
      </c>
      <c r="E368" s="0" t="n">
        <v>1654229.21</v>
      </c>
      <c r="F368" s="0" t="n">
        <v>106443.47</v>
      </c>
      <c r="G368" s="0" t="n">
        <v>1760672.68</v>
      </c>
      <c r="H368" s="0" t="n">
        <v>5.4919</v>
      </c>
      <c r="I368" s="0" t="n">
        <v>1760672.68</v>
      </c>
    </row>
    <row r="369" customFormat="false" ht="15" hidden="false" customHeight="false" outlineLevel="0" collapsed="false">
      <c r="A369" s="0" t="n">
        <v>368</v>
      </c>
      <c r="B369" s="0" t="n">
        <v>-3.35</v>
      </c>
      <c r="C369" s="0" t="n">
        <v>76.79</v>
      </c>
      <c r="D369" s="0" t="n">
        <v>-15.67</v>
      </c>
      <c r="E369" s="0" t="n">
        <v>45135.39</v>
      </c>
      <c r="F369" s="0" t="n">
        <v>79.24</v>
      </c>
      <c r="G369" s="0" t="n">
        <v>45214.63</v>
      </c>
      <c r="H369" s="0" t="n">
        <v>0.141</v>
      </c>
      <c r="I369" s="0" t="n">
        <v>45214.63</v>
      </c>
    </row>
    <row r="370" customFormat="false" ht="15" hidden="false" customHeight="false" outlineLevel="0" collapsed="false">
      <c r="A370" s="0" t="n">
        <v>369</v>
      </c>
      <c r="B370" s="0" t="n">
        <v>-51.68</v>
      </c>
      <c r="C370" s="0" t="n">
        <v>14.86</v>
      </c>
      <c r="D370" s="0" t="n">
        <v>-34.53</v>
      </c>
      <c r="E370" s="0" t="n">
        <v>696421.2</v>
      </c>
      <c r="F370" s="0" t="n">
        <v>18865.64</v>
      </c>
      <c r="G370" s="0" t="n">
        <v>715286.84</v>
      </c>
      <c r="H370" s="0" t="n">
        <v>2.2311</v>
      </c>
      <c r="I370" s="0" t="n">
        <v>715286.84</v>
      </c>
    </row>
    <row r="371" customFormat="false" ht="15" hidden="false" customHeight="false" outlineLevel="0" collapsed="false">
      <c r="A371" s="0" t="n">
        <v>370</v>
      </c>
      <c r="B371" s="0" t="n">
        <v>-4.19</v>
      </c>
      <c r="C371" s="0" t="n">
        <v>-126.6</v>
      </c>
      <c r="D371" s="0" t="n">
        <v>20.67</v>
      </c>
      <c r="E371" s="0" t="n">
        <v>56402.28</v>
      </c>
      <c r="F371" s="0" t="n">
        <v>123.74</v>
      </c>
      <c r="G371" s="0" t="n">
        <v>56526.02</v>
      </c>
      <c r="H371" s="0" t="n">
        <v>0.1763</v>
      </c>
      <c r="I371" s="0" t="n">
        <v>56526.02</v>
      </c>
    </row>
    <row r="372" customFormat="false" ht="15" hidden="false" customHeight="false" outlineLevel="0" collapsed="false">
      <c r="A372" s="0" t="n">
        <v>371</v>
      </c>
      <c r="B372" s="0" t="n">
        <v>-122.31</v>
      </c>
      <c r="C372" s="0" t="n">
        <v>-5.08</v>
      </c>
      <c r="D372" s="0" t="n">
        <v>-11.31</v>
      </c>
      <c r="E372" s="0" t="n">
        <v>1648180.14</v>
      </c>
      <c r="F372" s="0" t="n">
        <v>105666.42</v>
      </c>
      <c r="G372" s="0" t="n">
        <v>1753846.56</v>
      </c>
      <c r="H372" s="0" t="n">
        <v>5.4706</v>
      </c>
      <c r="I372" s="0" t="n">
        <v>1753846.56</v>
      </c>
    </row>
    <row r="373" customFormat="false" ht="15" hidden="false" customHeight="false" outlineLevel="0" collapsed="false">
      <c r="A373" s="0" t="n">
        <v>372</v>
      </c>
      <c r="B373" s="0" t="n">
        <v>-103.61</v>
      </c>
      <c r="C373" s="0" t="n">
        <v>28.6</v>
      </c>
      <c r="D373" s="0" t="n">
        <v>3.57</v>
      </c>
      <c r="E373" s="0" t="n">
        <v>1396116.41</v>
      </c>
      <c r="F373" s="0" t="n">
        <v>75817.75</v>
      </c>
      <c r="G373" s="0" t="n">
        <v>1471934.16</v>
      </c>
      <c r="H373" s="0" t="n">
        <v>4.5913</v>
      </c>
      <c r="I373" s="0" t="n">
        <v>1471934.16</v>
      </c>
    </row>
    <row r="374" customFormat="false" ht="15" hidden="false" customHeight="false" outlineLevel="0" collapsed="false">
      <c r="A374" s="0" t="n">
        <v>373</v>
      </c>
      <c r="B374" s="0" t="n">
        <v>-210.36</v>
      </c>
      <c r="C374" s="0" t="n">
        <v>-40.9</v>
      </c>
      <c r="D374" s="0" t="n">
        <v>43.08</v>
      </c>
      <c r="E374" s="0" t="n">
        <v>2834605.26</v>
      </c>
      <c r="F374" s="0" t="n">
        <v>312545.18</v>
      </c>
      <c r="G374" s="0" t="n">
        <v>3147150.45</v>
      </c>
      <c r="H374" s="0" t="n">
        <v>9.8166</v>
      </c>
      <c r="I374" s="0" t="n">
        <v>3147150.45</v>
      </c>
    </row>
    <row r="375" customFormat="false" ht="15" hidden="false" customHeight="false" outlineLevel="0" collapsed="false">
      <c r="A375" s="0" t="n">
        <v>374</v>
      </c>
      <c r="B375" s="0" t="n">
        <v>132.78</v>
      </c>
      <c r="C375" s="0" t="n">
        <v>36.94</v>
      </c>
      <c r="D375" s="0" t="n">
        <v>18.42</v>
      </c>
      <c r="E375" s="0" t="n">
        <v>-1789183.39</v>
      </c>
      <c r="F375" s="0" t="n">
        <v>124519.49</v>
      </c>
      <c r="G375" s="0" t="n">
        <v>-1664663.9</v>
      </c>
      <c r="H375" s="0" t="n">
        <v>-5.1924</v>
      </c>
      <c r="I375" s="0" t="n">
        <v>1664663.9</v>
      </c>
    </row>
    <row r="376" customFormat="false" ht="15" hidden="false" customHeight="false" outlineLevel="0" collapsed="false">
      <c r="A376" s="0" t="n">
        <v>375</v>
      </c>
      <c r="B376" s="0" t="n">
        <v>-29.95</v>
      </c>
      <c r="C376" s="0" t="n">
        <v>58.95</v>
      </c>
      <c r="D376" s="0" t="n">
        <v>18.9</v>
      </c>
      <c r="E376" s="0" t="n">
        <v>403529.31</v>
      </c>
      <c r="F376" s="0" t="n">
        <v>6334</v>
      </c>
      <c r="G376" s="0" t="n">
        <v>409863.3</v>
      </c>
      <c r="H376" s="0" t="n">
        <v>1.2785</v>
      </c>
      <c r="I376" s="0" t="n">
        <v>409863.3</v>
      </c>
    </row>
    <row r="377" customFormat="false" ht="15" hidden="false" customHeight="false" outlineLevel="0" collapsed="false">
      <c r="A377" s="0" t="n">
        <v>376</v>
      </c>
      <c r="B377" s="0" t="n">
        <v>57.5</v>
      </c>
      <c r="C377" s="0" t="n">
        <v>-29.4</v>
      </c>
      <c r="D377" s="0" t="n">
        <v>17.76</v>
      </c>
      <c r="E377" s="0" t="n">
        <v>-774789.03</v>
      </c>
      <c r="F377" s="0" t="n">
        <v>23350.41</v>
      </c>
      <c r="G377" s="0" t="n">
        <v>-751438.62</v>
      </c>
      <c r="H377" s="0" t="n">
        <v>-2.3439</v>
      </c>
      <c r="I377" s="0" t="n">
        <v>751438.62</v>
      </c>
    </row>
    <row r="378" customFormat="false" ht="15" hidden="false" customHeight="false" outlineLevel="0" collapsed="false">
      <c r="A378" s="0" t="n">
        <v>377</v>
      </c>
      <c r="B378" s="0" t="n">
        <v>54.67</v>
      </c>
      <c r="C378" s="0" t="n">
        <v>4.86</v>
      </c>
      <c r="D378" s="0" t="n">
        <v>6.62</v>
      </c>
      <c r="E378" s="0" t="n">
        <v>-736699.34</v>
      </c>
      <c r="F378" s="0" t="n">
        <v>21110.97</v>
      </c>
      <c r="G378" s="0" t="n">
        <v>-715588.37</v>
      </c>
      <c r="H378" s="0" t="n">
        <v>-2.2321</v>
      </c>
      <c r="I378" s="0" t="n">
        <v>715588.37</v>
      </c>
    </row>
    <row r="379" customFormat="false" ht="15" hidden="false" customHeight="false" outlineLevel="0" collapsed="false">
      <c r="A379" s="0" t="n">
        <v>378</v>
      </c>
      <c r="B379" s="0" t="n">
        <v>-102.32</v>
      </c>
      <c r="C379" s="0" t="n">
        <v>39.35</v>
      </c>
      <c r="D379" s="0" t="n">
        <v>-9.9</v>
      </c>
      <c r="E379" s="0" t="n">
        <v>1378714.38</v>
      </c>
      <c r="F379" s="0" t="n">
        <v>73939.45</v>
      </c>
      <c r="G379" s="0" t="n">
        <v>1452653.83</v>
      </c>
      <c r="H379" s="0" t="n">
        <v>4.5311</v>
      </c>
      <c r="I379" s="0" t="n">
        <v>1452653.83</v>
      </c>
    </row>
    <row r="380" customFormat="false" ht="15" hidden="false" customHeight="false" outlineLevel="0" collapsed="false">
      <c r="A380" s="0" t="n">
        <v>379</v>
      </c>
      <c r="B380" s="0" t="n">
        <v>-13.28</v>
      </c>
      <c r="C380" s="0" t="n">
        <v>31.1</v>
      </c>
      <c r="D380" s="0" t="n">
        <v>-0.13</v>
      </c>
      <c r="E380" s="0" t="n">
        <v>178949.89</v>
      </c>
      <c r="F380" s="0" t="n">
        <v>1245.63</v>
      </c>
      <c r="G380" s="0" t="n">
        <v>180195.52</v>
      </c>
      <c r="H380" s="0" t="n">
        <v>0.5621</v>
      </c>
      <c r="I380" s="0" t="n">
        <v>180195.52</v>
      </c>
    </row>
    <row r="381" customFormat="false" ht="15" hidden="false" customHeight="false" outlineLevel="0" collapsed="false">
      <c r="A381" s="0" t="n">
        <v>380</v>
      </c>
      <c r="B381" s="0" t="n">
        <v>-6.45</v>
      </c>
      <c r="C381" s="0" t="n">
        <v>-17.87</v>
      </c>
      <c r="D381" s="0" t="n">
        <v>-3.3</v>
      </c>
      <c r="E381" s="0" t="n">
        <v>86892.76</v>
      </c>
      <c r="F381" s="0" t="n">
        <v>293.69</v>
      </c>
      <c r="G381" s="0" t="n">
        <v>87186.45</v>
      </c>
      <c r="H381" s="0" t="n">
        <v>0.272</v>
      </c>
      <c r="I381" s="0" t="n">
        <v>87186.45</v>
      </c>
    </row>
    <row r="382" customFormat="false" ht="15" hidden="false" customHeight="false" outlineLevel="0" collapsed="false">
      <c r="A382" s="0" t="n">
        <v>381</v>
      </c>
      <c r="B382" s="0" t="n">
        <v>110.07</v>
      </c>
      <c r="C382" s="0" t="n">
        <v>15.87</v>
      </c>
      <c r="D382" s="0" t="n">
        <v>-12.06</v>
      </c>
      <c r="E382" s="0" t="n">
        <v>-1483244.3</v>
      </c>
      <c r="F382" s="0" t="n">
        <v>85576.2</v>
      </c>
      <c r="G382" s="0" t="n">
        <v>-1397668.1</v>
      </c>
      <c r="H382" s="0" t="n">
        <v>-4.3596</v>
      </c>
      <c r="I382" s="0" t="n">
        <v>1397668.1</v>
      </c>
    </row>
    <row r="383" customFormat="false" ht="15" hidden="false" customHeight="false" outlineLevel="0" collapsed="false">
      <c r="A383" s="0" t="n">
        <v>382</v>
      </c>
      <c r="B383" s="0" t="n">
        <v>102.11</v>
      </c>
      <c r="C383" s="0" t="n">
        <v>-25.51</v>
      </c>
      <c r="D383" s="0" t="n">
        <v>24.87</v>
      </c>
      <c r="E383" s="0" t="n">
        <v>-1375940.11</v>
      </c>
      <c r="F383" s="0" t="n">
        <v>73642.19</v>
      </c>
      <c r="G383" s="0" t="n">
        <v>-1302297.92</v>
      </c>
      <c r="H383" s="0" t="n">
        <v>-4.0621</v>
      </c>
      <c r="I383" s="0" t="n">
        <v>1302297.92</v>
      </c>
    </row>
    <row r="384" customFormat="false" ht="15" hidden="false" customHeight="false" outlineLevel="0" collapsed="false">
      <c r="A384" s="0" t="n">
        <v>383</v>
      </c>
      <c r="B384" s="0" t="n">
        <v>95.87</v>
      </c>
      <c r="C384" s="0" t="n">
        <v>-81.68</v>
      </c>
      <c r="D384" s="0" t="n">
        <v>11</v>
      </c>
      <c r="E384" s="0" t="n">
        <v>-1291781.06</v>
      </c>
      <c r="F384" s="0" t="n">
        <v>64909.08</v>
      </c>
      <c r="G384" s="0" t="n">
        <v>-1226871.98</v>
      </c>
      <c r="H384" s="0" t="n">
        <v>-3.8269</v>
      </c>
      <c r="I384" s="0" t="n">
        <v>1226871.98</v>
      </c>
    </row>
    <row r="385" customFormat="false" ht="15" hidden="false" customHeight="false" outlineLevel="0" collapsed="false">
      <c r="A385" s="0" t="n">
        <v>384</v>
      </c>
      <c r="B385" s="0" t="n">
        <v>40.46</v>
      </c>
      <c r="C385" s="0" t="n">
        <v>-55.41</v>
      </c>
      <c r="D385" s="0" t="n">
        <v>-38.42</v>
      </c>
      <c r="E385" s="0" t="n">
        <v>-545221.11</v>
      </c>
      <c r="F385" s="0" t="n">
        <v>11563.06</v>
      </c>
      <c r="G385" s="0" t="n">
        <v>-533658.04</v>
      </c>
      <c r="H385" s="0" t="n">
        <v>-1.6646</v>
      </c>
      <c r="I385" s="0" t="n">
        <v>533658.04</v>
      </c>
    </row>
    <row r="386" customFormat="false" ht="15" hidden="false" customHeight="false" outlineLevel="0" collapsed="false">
      <c r="A386" s="0" t="n">
        <v>385</v>
      </c>
      <c r="B386" s="0" t="n">
        <v>-28.23</v>
      </c>
      <c r="C386" s="0" t="n">
        <v>-24.65</v>
      </c>
      <c r="D386" s="0" t="n">
        <v>-1.8</v>
      </c>
      <c r="E386" s="0" t="n">
        <v>380391.64</v>
      </c>
      <c r="F386" s="0" t="n">
        <v>5628.46</v>
      </c>
      <c r="G386" s="0" t="n">
        <v>386020.1</v>
      </c>
      <c r="H386" s="0" t="n">
        <v>1.2041</v>
      </c>
      <c r="I386" s="0" t="n">
        <v>386020.1</v>
      </c>
    </row>
    <row r="387" customFormat="false" ht="15" hidden="false" customHeight="false" outlineLevel="0" collapsed="false">
      <c r="A387" s="0" t="n">
        <v>386</v>
      </c>
      <c r="B387" s="0" t="n">
        <v>-42.84</v>
      </c>
      <c r="C387" s="0" t="n">
        <v>-49.49</v>
      </c>
      <c r="D387" s="0" t="n">
        <v>-29.61</v>
      </c>
      <c r="E387" s="0" t="n">
        <v>577257.14</v>
      </c>
      <c r="F387" s="0" t="n">
        <v>12961.83</v>
      </c>
      <c r="G387" s="0" t="n">
        <v>590218.96</v>
      </c>
      <c r="H387" s="0" t="n">
        <v>1.841</v>
      </c>
      <c r="I387" s="0" t="n">
        <v>590218.96</v>
      </c>
    </row>
    <row r="388" customFormat="false" ht="15" hidden="false" customHeight="false" outlineLevel="0" collapsed="false">
      <c r="A388" s="0" t="n">
        <v>387</v>
      </c>
      <c r="B388" s="0" t="n">
        <v>-163.03</v>
      </c>
      <c r="C388" s="0" t="n">
        <v>69.86</v>
      </c>
      <c r="D388" s="0" t="n">
        <v>-4.87</v>
      </c>
      <c r="E388" s="0" t="n">
        <v>2196889.52</v>
      </c>
      <c r="F388" s="0" t="n">
        <v>187734.49</v>
      </c>
      <c r="G388" s="0" t="n">
        <v>2384624.01</v>
      </c>
      <c r="H388" s="0" t="n">
        <v>7.4382</v>
      </c>
      <c r="I388" s="0" t="n">
        <v>2384624.01</v>
      </c>
    </row>
    <row r="389" customFormat="false" ht="15" hidden="false" customHeight="false" outlineLevel="0" collapsed="false">
      <c r="A389" s="0" t="n">
        <v>388</v>
      </c>
      <c r="B389" s="0" t="n">
        <v>25.96</v>
      </c>
      <c r="C389" s="0" t="n">
        <v>-25.93</v>
      </c>
      <c r="D389" s="0" t="n">
        <v>-28.49</v>
      </c>
      <c r="E389" s="0" t="n">
        <v>-349845.05</v>
      </c>
      <c r="F389" s="0" t="n">
        <v>4760.79</v>
      </c>
      <c r="G389" s="0" t="n">
        <v>-345084.26</v>
      </c>
      <c r="H389" s="0" t="n">
        <v>-1.0764</v>
      </c>
      <c r="I389" s="0" t="n">
        <v>345084.26</v>
      </c>
    </row>
    <row r="390" customFormat="false" ht="15" hidden="false" customHeight="false" outlineLevel="0" collapsed="false">
      <c r="A390" s="0" t="n">
        <v>389</v>
      </c>
      <c r="B390" s="0" t="n">
        <v>-7.37</v>
      </c>
      <c r="C390" s="0" t="n">
        <v>21.21</v>
      </c>
      <c r="D390" s="0" t="n">
        <v>3.4</v>
      </c>
      <c r="E390" s="0" t="n">
        <v>99303.88</v>
      </c>
      <c r="F390" s="0" t="n">
        <v>383.58</v>
      </c>
      <c r="G390" s="0" t="n">
        <v>99687.46</v>
      </c>
      <c r="H390" s="0" t="n">
        <v>0.3109</v>
      </c>
      <c r="I390" s="0" t="n">
        <v>99687.46</v>
      </c>
    </row>
    <row r="391" customFormat="false" ht="15" hidden="false" customHeight="false" outlineLevel="0" collapsed="false">
      <c r="A391" s="0" t="n">
        <v>390</v>
      </c>
      <c r="B391" s="0" t="n">
        <v>19.34</v>
      </c>
      <c r="C391" s="0" t="n">
        <v>-58.78</v>
      </c>
      <c r="D391" s="0" t="n">
        <v>-37.61</v>
      </c>
      <c r="E391" s="0" t="n">
        <v>-260547.13</v>
      </c>
      <c r="F391" s="0" t="n">
        <v>2640.59</v>
      </c>
      <c r="G391" s="0" t="n">
        <v>-257906.54</v>
      </c>
      <c r="H391" s="0" t="n">
        <v>-0.8045</v>
      </c>
      <c r="I391" s="0" t="n">
        <v>257906.54</v>
      </c>
    </row>
    <row r="392" customFormat="false" ht="15" hidden="false" customHeight="false" outlineLevel="0" collapsed="false">
      <c r="A392" s="0" t="n">
        <v>391</v>
      </c>
      <c r="B392" s="0" t="n">
        <v>-52.02</v>
      </c>
      <c r="C392" s="0" t="n">
        <v>67.11</v>
      </c>
      <c r="D392" s="0" t="n">
        <v>-7.83</v>
      </c>
      <c r="E392" s="0" t="n">
        <v>700989.44</v>
      </c>
      <c r="F392" s="0" t="n">
        <v>19113.96</v>
      </c>
      <c r="G392" s="0" t="n">
        <v>720103.39</v>
      </c>
      <c r="H392" s="0" t="n">
        <v>2.2462</v>
      </c>
      <c r="I392" s="0" t="n">
        <v>720103.39</v>
      </c>
    </row>
    <row r="393" customFormat="false" ht="15" hidden="false" customHeight="false" outlineLevel="0" collapsed="false">
      <c r="A393" s="0" t="n">
        <v>392</v>
      </c>
      <c r="B393" s="0" t="n">
        <v>-33.16</v>
      </c>
      <c r="C393" s="0" t="n">
        <v>60.01</v>
      </c>
      <c r="D393" s="0" t="n">
        <v>-10.42</v>
      </c>
      <c r="E393" s="0" t="n">
        <v>446816.25</v>
      </c>
      <c r="F393" s="0" t="n">
        <v>7765.79</v>
      </c>
      <c r="G393" s="0" t="n">
        <v>454582.04</v>
      </c>
      <c r="H393" s="0" t="n">
        <v>1.4179</v>
      </c>
      <c r="I393" s="0" t="n">
        <v>454582.04</v>
      </c>
    </row>
    <row r="394" customFormat="false" ht="15" hidden="false" customHeight="false" outlineLevel="0" collapsed="false">
      <c r="A394" s="0" t="n">
        <v>393</v>
      </c>
      <c r="B394" s="0" t="n">
        <v>12.01</v>
      </c>
      <c r="C394" s="0" t="n">
        <v>-125.42</v>
      </c>
      <c r="D394" s="0" t="n">
        <v>-49.53</v>
      </c>
      <c r="E394" s="0" t="n">
        <v>-161854.46</v>
      </c>
      <c r="F394" s="0" t="n">
        <v>1019.01</v>
      </c>
      <c r="G394" s="0" t="n">
        <v>-160835.46</v>
      </c>
      <c r="H394" s="0" t="n">
        <v>-0.5017</v>
      </c>
      <c r="I394" s="0" t="n">
        <v>160835.46</v>
      </c>
    </row>
    <row r="395" customFormat="false" ht="15" hidden="false" customHeight="false" outlineLevel="0" collapsed="false">
      <c r="A395" s="0" t="n">
        <v>394</v>
      </c>
      <c r="B395" s="0" t="n">
        <v>-22.71</v>
      </c>
      <c r="C395" s="0" t="n">
        <v>-9.7</v>
      </c>
      <c r="D395" s="0" t="n">
        <v>-0.1</v>
      </c>
      <c r="E395" s="0" t="n">
        <v>305972.26</v>
      </c>
      <c r="F395" s="0" t="n">
        <v>3641.6</v>
      </c>
      <c r="G395" s="0" t="n">
        <v>309613.85</v>
      </c>
      <c r="H395" s="0" t="n">
        <v>0.9658</v>
      </c>
      <c r="I395" s="0" t="n">
        <v>309613.85</v>
      </c>
    </row>
    <row r="396" customFormat="false" ht="15" hidden="false" customHeight="false" outlineLevel="0" collapsed="false">
      <c r="A396" s="0" t="n">
        <v>395</v>
      </c>
      <c r="B396" s="0" t="n">
        <v>-67.15</v>
      </c>
      <c r="C396" s="0" t="n">
        <v>-51.65</v>
      </c>
      <c r="D396" s="0" t="n">
        <v>23.39</v>
      </c>
      <c r="E396" s="0" t="n">
        <v>904898.42</v>
      </c>
      <c r="F396" s="0" t="n">
        <v>31851.31</v>
      </c>
      <c r="G396" s="0" t="n">
        <v>936749.73</v>
      </c>
      <c r="H396" s="0" t="n">
        <v>2.9219</v>
      </c>
      <c r="I396" s="0" t="n">
        <v>936749.73</v>
      </c>
    </row>
    <row r="397" customFormat="false" ht="15" hidden="false" customHeight="false" outlineLevel="0" collapsed="false">
      <c r="A397" s="0" t="n">
        <v>396</v>
      </c>
      <c r="B397" s="0" t="n">
        <v>-18.78</v>
      </c>
      <c r="C397" s="0" t="n">
        <v>25.79</v>
      </c>
      <c r="D397" s="0" t="n">
        <v>54.28</v>
      </c>
      <c r="E397" s="0" t="n">
        <v>253068.55</v>
      </c>
      <c r="F397" s="0" t="n">
        <v>2491.17</v>
      </c>
      <c r="G397" s="0" t="n">
        <v>255559.72</v>
      </c>
      <c r="H397" s="0" t="n">
        <v>0.7971</v>
      </c>
      <c r="I397" s="0" t="n">
        <v>255559.72</v>
      </c>
    </row>
    <row r="398" customFormat="false" ht="15" hidden="false" customHeight="false" outlineLevel="0" collapsed="false">
      <c r="A398" s="0" t="n">
        <v>397</v>
      </c>
      <c r="B398" s="0" t="n">
        <v>69.78</v>
      </c>
      <c r="C398" s="0" t="n">
        <v>-55.81</v>
      </c>
      <c r="D398" s="0" t="n">
        <v>31.93</v>
      </c>
      <c r="E398" s="0" t="n">
        <v>-940254.09</v>
      </c>
      <c r="F398" s="0" t="n">
        <v>34388.89</v>
      </c>
      <c r="G398" s="0" t="n">
        <v>-905865.21</v>
      </c>
      <c r="H398" s="0" t="n">
        <v>-2.8256</v>
      </c>
      <c r="I398" s="0" t="n">
        <v>905865.21</v>
      </c>
    </row>
    <row r="399" customFormat="false" ht="15" hidden="false" customHeight="false" outlineLevel="0" collapsed="false">
      <c r="A399" s="0" t="n">
        <v>398</v>
      </c>
      <c r="B399" s="0" t="n">
        <v>62.63</v>
      </c>
      <c r="C399" s="0" t="n">
        <v>-28.55</v>
      </c>
      <c r="D399" s="0" t="n">
        <v>36.15</v>
      </c>
      <c r="E399" s="0" t="n">
        <v>-843942.93</v>
      </c>
      <c r="F399" s="0" t="n">
        <v>27704.72</v>
      </c>
      <c r="G399" s="0" t="n">
        <v>-816238.21</v>
      </c>
      <c r="H399" s="0" t="n">
        <v>-2.546</v>
      </c>
      <c r="I399" s="0" t="n">
        <v>816238.21</v>
      </c>
    </row>
    <row r="400" customFormat="false" ht="15" hidden="false" customHeight="false" outlineLevel="0" collapsed="false">
      <c r="A400" s="0" t="n">
        <v>399</v>
      </c>
      <c r="B400" s="0" t="n">
        <v>-232.72</v>
      </c>
      <c r="C400" s="0" t="n">
        <v>6.24</v>
      </c>
      <c r="D400" s="0" t="n">
        <v>-10.14</v>
      </c>
      <c r="E400" s="0" t="n">
        <v>3135947.65</v>
      </c>
      <c r="F400" s="0" t="n">
        <v>382529.77</v>
      </c>
      <c r="G400" s="0" t="n">
        <v>3518477.42</v>
      </c>
      <c r="H400" s="0" t="n">
        <v>10.9749</v>
      </c>
      <c r="I400" s="0" t="n">
        <v>3518477.42</v>
      </c>
    </row>
    <row r="401" customFormat="false" ht="15" hidden="false" customHeight="false" outlineLevel="0" collapsed="false">
      <c r="A401" s="0" t="n">
        <v>400</v>
      </c>
      <c r="B401" s="0" t="n">
        <v>53.29</v>
      </c>
      <c r="C401" s="0" t="n">
        <v>60.56</v>
      </c>
      <c r="D401" s="0" t="n">
        <v>5.53</v>
      </c>
      <c r="E401" s="0" t="n">
        <v>-718013.39</v>
      </c>
      <c r="F401" s="0" t="n">
        <v>20053.62</v>
      </c>
      <c r="G401" s="0" t="n">
        <v>-697959.77</v>
      </c>
      <c r="H401" s="0" t="n">
        <v>-2.1771</v>
      </c>
      <c r="I401" s="0" t="n">
        <v>697959.77</v>
      </c>
    </row>
    <row r="402" customFormat="false" ht="15" hidden="false" customHeight="false" outlineLevel="0" collapsed="false">
      <c r="A402" s="0" t="n">
        <v>401</v>
      </c>
      <c r="B402" s="0" t="n">
        <v>-32.22</v>
      </c>
      <c r="C402" s="0" t="n">
        <v>14.75</v>
      </c>
      <c r="D402" s="0" t="n">
        <v>37.18</v>
      </c>
      <c r="E402" s="0" t="n">
        <v>434210.1</v>
      </c>
      <c r="F402" s="0" t="n">
        <v>7333.77</v>
      </c>
      <c r="G402" s="0" t="n">
        <v>441543.87</v>
      </c>
      <c r="H402" s="0" t="n">
        <v>1.3773</v>
      </c>
      <c r="I402" s="0" t="n">
        <v>441543.87</v>
      </c>
    </row>
    <row r="403" customFormat="false" ht="15" hidden="false" customHeight="false" outlineLevel="0" collapsed="false">
      <c r="A403" s="0" t="n">
        <v>402</v>
      </c>
      <c r="B403" s="0" t="n">
        <v>-15.82</v>
      </c>
      <c r="C403" s="0" t="n">
        <v>-7</v>
      </c>
      <c r="D403" s="0" t="n">
        <v>18.59</v>
      </c>
      <c r="E403" s="0" t="n">
        <v>213237.63</v>
      </c>
      <c r="F403" s="0" t="n">
        <v>1768.7</v>
      </c>
      <c r="G403" s="0" t="n">
        <v>215006.33</v>
      </c>
      <c r="H403" s="0" t="n">
        <v>0.6707</v>
      </c>
      <c r="I403" s="0" t="n">
        <v>215006.33</v>
      </c>
    </row>
    <row r="404" customFormat="false" ht="15" hidden="false" customHeight="false" outlineLevel="0" collapsed="false">
      <c r="A404" s="0" t="n">
        <v>403</v>
      </c>
      <c r="B404" s="0" t="n">
        <v>6.64</v>
      </c>
      <c r="C404" s="0" t="n">
        <v>-28.75</v>
      </c>
      <c r="D404" s="0" t="n">
        <v>43.18</v>
      </c>
      <c r="E404" s="0" t="n">
        <v>-89503.6</v>
      </c>
      <c r="F404" s="0" t="n">
        <v>311.61</v>
      </c>
      <c r="G404" s="0" t="n">
        <v>-89191.99</v>
      </c>
      <c r="H404" s="0" t="n">
        <v>-0.2782</v>
      </c>
      <c r="I404" s="0" t="n">
        <v>89191.99</v>
      </c>
    </row>
    <row r="405" customFormat="false" ht="15" hidden="false" customHeight="false" outlineLevel="0" collapsed="false">
      <c r="A405" s="0" t="n">
        <v>404</v>
      </c>
      <c r="B405" s="0" t="n">
        <v>-44.61</v>
      </c>
      <c r="C405" s="0" t="n">
        <v>118.79</v>
      </c>
      <c r="D405" s="0" t="n">
        <v>27.66</v>
      </c>
      <c r="E405" s="0" t="n">
        <v>601074.64</v>
      </c>
      <c r="F405" s="0" t="n">
        <v>14053.5</v>
      </c>
      <c r="G405" s="0" t="n">
        <v>615128.14</v>
      </c>
      <c r="H405" s="0" t="n">
        <v>1.9187</v>
      </c>
      <c r="I405" s="0" t="n">
        <v>615128.14</v>
      </c>
    </row>
    <row r="406" customFormat="false" ht="15" hidden="false" customHeight="false" outlineLevel="0" collapsed="false">
      <c r="A406" s="0" t="n">
        <v>405</v>
      </c>
      <c r="B406" s="0" t="n">
        <v>65.99</v>
      </c>
      <c r="C406" s="0" t="n">
        <v>71.82</v>
      </c>
      <c r="D406" s="0" t="n">
        <v>-4.07</v>
      </c>
      <c r="E406" s="0" t="n">
        <v>-889218.4</v>
      </c>
      <c r="F406" s="0" t="n">
        <v>30757.04</v>
      </c>
      <c r="G406" s="0" t="n">
        <v>-858461.36</v>
      </c>
      <c r="H406" s="0" t="n">
        <v>-2.6777</v>
      </c>
      <c r="I406" s="0" t="n">
        <v>858461.36</v>
      </c>
    </row>
    <row r="407" customFormat="false" ht="15" hidden="false" customHeight="false" outlineLevel="0" collapsed="false">
      <c r="A407" s="0" t="n">
        <v>406</v>
      </c>
      <c r="B407" s="0" t="n">
        <v>43.54</v>
      </c>
      <c r="C407" s="0" t="n">
        <v>66.12</v>
      </c>
      <c r="D407" s="0" t="n">
        <v>49.49</v>
      </c>
      <c r="E407" s="0" t="n">
        <v>-586691.36</v>
      </c>
      <c r="F407" s="0" t="n">
        <v>13388.97</v>
      </c>
      <c r="G407" s="0" t="n">
        <v>-573302.39</v>
      </c>
      <c r="H407" s="0" t="n">
        <v>-1.7883</v>
      </c>
      <c r="I407" s="0" t="n">
        <v>573302.39</v>
      </c>
    </row>
    <row r="408" customFormat="false" ht="15" hidden="false" customHeight="false" outlineLevel="0" collapsed="false">
      <c r="A408" s="0" t="n">
        <v>407</v>
      </c>
      <c r="B408" s="0" t="n">
        <v>-11.88</v>
      </c>
      <c r="C408" s="0" t="n">
        <v>119.02</v>
      </c>
      <c r="D408" s="0" t="n">
        <v>7.9</v>
      </c>
      <c r="E408" s="0" t="n">
        <v>160034.61</v>
      </c>
      <c r="F408" s="0" t="n">
        <v>996.22</v>
      </c>
      <c r="G408" s="0" t="n">
        <v>161030.83</v>
      </c>
      <c r="H408" s="0" t="n">
        <v>0.5023</v>
      </c>
      <c r="I408" s="0" t="n">
        <v>161030.83</v>
      </c>
    </row>
    <row r="409" customFormat="false" ht="15" hidden="false" customHeight="false" outlineLevel="0" collapsed="false">
      <c r="A409" s="0" t="n">
        <v>408</v>
      </c>
      <c r="B409" s="0" t="n">
        <v>-19.27</v>
      </c>
      <c r="C409" s="0" t="n">
        <v>4.39</v>
      </c>
      <c r="D409" s="0" t="n">
        <v>40.36</v>
      </c>
      <c r="E409" s="0" t="n">
        <v>259643.67</v>
      </c>
      <c r="F409" s="0" t="n">
        <v>2622.3</v>
      </c>
      <c r="G409" s="0" t="n">
        <v>262265.98</v>
      </c>
      <c r="H409" s="0" t="n">
        <v>0.8181</v>
      </c>
      <c r="I409" s="0" t="n">
        <v>262265.98</v>
      </c>
    </row>
    <row r="410" customFormat="false" ht="15" hidden="false" customHeight="false" outlineLevel="0" collapsed="false">
      <c r="A410" s="0" t="n">
        <v>409</v>
      </c>
      <c r="B410" s="0" t="n">
        <v>10.11</v>
      </c>
      <c r="C410" s="0" t="n">
        <v>59.39</v>
      </c>
      <c r="D410" s="0" t="n">
        <v>-73.25</v>
      </c>
      <c r="E410" s="0" t="n">
        <v>-136180.38</v>
      </c>
      <c r="F410" s="0" t="n">
        <v>721.37</v>
      </c>
      <c r="G410" s="0" t="n">
        <v>-135459.01</v>
      </c>
      <c r="H410" s="0" t="n">
        <v>-0.4225</v>
      </c>
      <c r="I410" s="0" t="n">
        <v>135459.01</v>
      </c>
    </row>
    <row r="411" customFormat="false" ht="15" hidden="false" customHeight="false" outlineLevel="0" collapsed="false">
      <c r="A411" s="0" t="n">
        <v>410</v>
      </c>
      <c r="B411" s="0" t="n">
        <v>-6.78</v>
      </c>
      <c r="C411" s="0" t="n">
        <v>-5.29</v>
      </c>
      <c r="D411" s="0" t="n">
        <v>26.07</v>
      </c>
      <c r="E411" s="0" t="n">
        <v>91418.73</v>
      </c>
      <c r="F411" s="0" t="n">
        <v>325.09</v>
      </c>
      <c r="G411" s="0" t="n">
        <v>91743.82</v>
      </c>
      <c r="H411" s="0" t="n">
        <v>0.2862</v>
      </c>
      <c r="I411" s="0" t="n">
        <v>91743.82</v>
      </c>
    </row>
    <row r="412" customFormat="false" ht="15" hidden="false" customHeight="false" outlineLevel="0" collapsed="false">
      <c r="A412" s="0" t="n">
        <v>411</v>
      </c>
      <c r="B412" s="0" t="n">
        <v>-34.77</v>
      </c>
      <c r="C412" s="0" t="n">
        <v>-6.03</v>
      </c>
      <c r="D412" s="0" t="n">
        <v>41.81</v>
      </c>
      <c r="E412" s="0" t="n">
        <v>468467.91</v>
      </c>
      <c r="F412" s="0" t="n">
        <v>8536.65</v>
      </c>
      <c r="G412" s="0" t="n">
        <v>477004.56</v>
      </c>
      <c r="H412" s="0" t="n">
        <v>1.4879</v>
      </c>
      <c r="I412" s="0" t="n">
        <v>477004.56</v>
      </c>
    </row>
    <row r="413" customFormat="false" ht="15" hidden="false" customHeight="false" outlineLevel="0" collapsed="false">
      <c r="A413" s="0" t="n">
        <v>412</v>
      </c>
      <c r="B413" s="0" t="n">
        <v>25.59</v>
      </c>
      <c r="C413" s="0" t="n">
        <v>8.31</v>
      </c>
      <c r="D413" s="0" t="n">
        <v>-3</v>
      </c>
      <c r="E413" s="0" t="n">
        <v>-344877.83</v>
      </c>
      <c r="F413" s="0" t="n">
        <v>4626.56</v>
      </c>
      <c r="G413" s="0" t="n">
        <v>-340251.27</v>
      </c>
      <c r="H413" s="0" t="n">
        <v>-1.0613</v>
      </c>
      <c r="I413" s="0" t="n">
        <v>340251.27</v>
      </c>
    </row>
    <row r="414" customFormat="false" ht="15" hidden="false" customHeight="false" outlineLevel="0" collapsed="false">
      <c r="A414" s="0" t="n">
        <v>413</v>
      </c>
      <c r="B414" s="0" t="n">
        <v>-125.24</v>
      </c>
      <c r="C414" s="0" t="n">
        <v>-22.14</v>
      </c>
      <c r="D414" s="0" t="n">
        <v>40.9</v>
      </c>
      <c r="E414" s="0" t="n">
        <v>1687668.33</v>
      </c>
      <c r="F414" s="0" t="n">
        <v>110790.32</v>
      </c>
      <c r="G414" s="0" t="n">
        <v>1798458.66</v>
      </c>
      <c r="H414" s="0" t="n">
        <v>5.6098</v>
      </c>
      <c r="I414" s="0" t="n">
        <v>1798458.66</v>
      </c>
    </row>
    <row r="415" customFormat="false" ht="15" hidden="false" customHeight="false" outlineLevel="0" collapsed="false">
      <c r="A415" s="0" t="n">
        <v>414</v>
      </c>
      <c r="B415" s="0" t="n">
        <v>101.03</v>
      </c>
      <c r="C415" s="0" t="n">
        <v>-15.02</v>
      </c>
      <c r="D415" s="0" t="n">
        <v>-12.66</v>
      </c>
      <c r="E415" s="0" t="n">
        <v>-1361431.3</v>
      </c>
      <c r="F415" s="0" t="n">
        <v>72097.32</v>
      </c>
      <c r="G415" s="0" t="n">
        <v>-1289333.98</v>
      </c>
      <c r="H415" s="0" t="n">
        <v>-4.0217</v>
      </c>
      <c r="I415" s="0" t="n">
        <v>1289333.98</v>
      </c>
    </row>
    <row r="416" customFormat="false" ht="15" hidden="false" customHeight="false" outlineLevel="0" collapsed="false">
      <c r="A416" s="0" t="n">
        <v>415</v>
      </c>
      <c r="B416" s="0" t="n">
        <v>-98.84</v>
      </c>
      <c r="C416" s="0" t="n">
        <v>-22.59</v>
      </c>
      <c r="D416" s="0" t="n">
        <v>20.1</v>
      </c>
      <c r="E416" s="0" t="n">
        <v>1331864.98</v>
      </c>
      <c r="F416" s="0" t="n">
        <v>68999.83</v>
      </c>
      <c r="G416" s="0" t="n">
        <v>1400864.81</v>
      </c>
      <c r="H416" s="0" t="n">
        <v>4.3696</v>
      </c>
      <c r="I416" s="0" t="n">
        <v>1400864.81</v>
      </c>
    </row>
    <row r="417" customFormat="false" ht="15" hidden="false" customHeight="false" outlineLevel="0" collapsed="false">
      <c r="A417" s="0" t="n">
        <v>416</v>
      </c>
      <c r="B417" s="0" t="n">
        <v>-96.91</v>
      </c>
      <c r="C417" s="0" t="n">
        <v>5.68</v>
      </c>
      <c r="D417" s="0" t="n">
        <v>-16.27</v>
      </c>
      <c r="E417" s="0" t="n">
        <v>1305821.16</v>
      </c>
      <c r="F417" s="0" t="n">
        <v>66327.71</v>
      </c>
      <c r="G417" s="0" t="n">
        <v>1372148.87</v>
      </c>
      <c r="H417" s="0" t="n">
        <v>4.28</v>
      </c>
      <c r="I417" s="0" t="n">
        <v>1372148.87</v>
      </c>
    </row>
    <row r="418" customFormat="false" ht="15" hidden="false" customHeight="false" outlineLevel="0" collapsed="false">
      <c r="A418" s="0" t="n">
        <v>417</v>
      </c>
      <c r="B418" s="0" t="n">
        <v>-58.74</v>
      </c>
      <c r="C418" s="0" t="n">
        <v>-7.63</v>
      </c>
      <c r="D418" s="0" t="n">
        <v>2.25</v>
      </c>
      <c r="E418" s="0" t="n">
        <v>791506.62</v>
      </c>
      <c r="F418" s="0" t="n">
        <v>24368.95</v>
      </c>
      <c r="G418" s="0" t="n">
        <v>815875.56</v>
      </c>
      <c r="H418" s="0" t="n">
        <v>2.5449</v>
      </c>
      <c r="I418" s="0" t="n">
        <v>815875.56</v>
      </c>
    </row>
    <row r="419" customFormat="false" ht="15" hidden="false" customHeight="false" outlineLevel="0" collapsed="false">
      <c r="A419" s="0" t="n">
        <v>418</v>
      </c>
      <c r="B419" s="0" t="n">
        <v>246.84</v>
      </c>
      <c r="C419" s="0" t="n">
        <v>61.77</v>
      </c>
      <c r="D419" s="0" t="n">
        <v>-9.18</v>
      </c>
      <c r="E419" s="0" t="n">
        <v>-3326204.85</v>
      </c>
      <c r="F419" s="0" t="n">
        <v>430353.77</v>
      </c>
      <c r="G419" s="0" t="n">
        <v>-2895851.07</v>
      </c>
      <c r="H419" s="0" t="n">
        <v>-9.0328</v>
      </c>
      <c r="I419" s="0" t="n">
        <v>2895851.07</v>
      </c>
    </row>
    <row r="420" customFormat="false" ht="15" hidden="false" customHeight="false" outlineLevel="0" collapsed="false">
      <c r="A420" s="0" t="n">
        <v>419</v>
      </c>
      <c r="B420" s="0" t="n">
        <v>176.74</v>
      </c>
      <c r="C420" s="0" t="n">
        <v>23.75</v>
      </c>
      <c r="D420" s="0" t="n">
        <v>40.53</v>
      </c>
      <c r="E420" s="0" t="n">
        <v>-2381598.83</v>
      </c>
      <c r="F420" s="0" t="n">
        <v>220630.14</v>
      </c>
      <c r="G420" s="0" t="n">
        <v>-2160968.69</v>
      </c>
      <c r="H420" s="0" t="n">
        <v>-6.7405</v>
      </c>
      <c r="I420" s="0" t="n">
        <v>2160968.69</v>
      </c>
    </row>
    <row r="421" customFormat="false" ht="15" hidden="false" customHeight="false" outlineLevel="0" collapsed="false">
      <c r="A421" s="0" t="n">
        <v>420</v>
      </c>
      <c r="B421" s="0" t="n">
        <v>-33.68</v>
      </c>
      <c r="C421" s="0" t="n">
        <v>-17.31</v>
      </c>
      <c r="D421" s="0" t="n">
        <v>-14.89</v>
      </c>
      <c r="E421" s="0" t="n">
        <v>453896.34</v>
      </c>
      <c r="F421" s="0" t="n">
        <v>8013.85</v>
      </c>
      <c r="G421" s="0" t="n">
        <v>461910.19</v>
      </c>
      <c r="H421" s="0" t="n">
        <v>1.4408</v>
      </c>
      <c r="I421" s="0" t="n">
        <v>461910.19</v>
      </c>
    </row>
    <row r="422" customFormat="false" ht="15" hidden="false" customHeight="false" outlineLevel="0" collapsed="false">
      <c r="A422" s="0" t="n">
        <v>421</v>
      </c>
      <c r="B422" s="0" t="n">
        <v>209.82</v>
      </c>
      <c r="C422" s="0" t="n">
        <v>41.67</v>
      </c>
      <c r="D422" s="0" t="n">
        <v>-3.33</v>
      </c>
      <c r="E422" s="0" t="n">
        <v>-2827381.94</v>
      </c>
      <c r="F422" s="0" t="n">
        <v>310954.32</v>
      </c>
      <c r="G422" s="0" t="n">
        <v>-2516427.62</v>
      </c>
      <c r="H422" s="0" t="n">
        <v>-7.8493</v>
      </c>
      <c r="I422" s="0" t="n">
        <v>2516427.62</v>
      </c>
    </row>
    <row r="423" customFormat="false" ht="15" hidden="false" customHeight="false" outlineLevel="0" collapsed="false">
      <c r="A423" s="0" t="n">
        <v>422</v>
      </c>
      <c r="B423" s="0" t="n">
        <v>75.2</v>
      </c>
      <c r="C423" s="0" t="n">
        <v>-80.7</v>
      </c>
      <c r="D423" s="0" t="n">
        <v>-102.9</v>
      </c>
      <c r="E423" s="0" t="n">
        <v>-1013258.88</v>
      </c>
      <c r="F423" s="0" t="n">
        <v>39936.36</v>
      </c>
      <c r="G423" s="0" t="n">
        <v>-973322.52</v>
      </c>
      <c r="H423" s="0" t="n">
        <v>-3.036</v>
      </c>
      <c r="I423" s="0" t="n">
        <v>973322.52</v>
      </c>
    </row>
    <row r="424" customFormat="false" ht="15" hidden="false" customHeight="false" outlineLevel="0" collapsed="false">
      <c r="A424" s="0" t="n">
        <v>423</v>
      </c>
      <c r="B424" s="0" t="n">
        <v>37.95</v>
      </c>
      <c r="C424" s="0" t="n">
        <v>-28.91</v>
      </c>
      <c r="D424" s="0" t="n">
        <v>13.15</v>
      </c>
      <c r="E424" s="0" t="n">
        <v>-511413.27</v>
      </c>
      <c r="F424" s="0" t="n">
        <v>10173.53</v>
      </c>
      <c r="G424" s="0" t="n">
        <v>-501239.74</v>
      </c>
      <c r="H424" s="0" t="n">
        <v>-1.5635</v>
      </c>
      <c r="I424" s="0" t="n">
        <v>501239.74</v>
      </c>
    </row>
    <row r="425" customFormat="false" ht="15" hidden="false" customHeight="false" outlineLevel="0" collapsed="false">
      <c r="A425" s="0" t="n">
        <v>424</v>
      </c>
      <c r="B425" s="0" t="n">
        <v>-68.44</v>
      </c>
      <c r="C425" s="0" t="n">
        <v>32.65</v>
      </c>
      <c r="D425" s="0" t="n">
        <v>31.48</v>
      </c>
      <c r="E425" s="0" t="n">
        <v>922221.52</v>
      </c>
      <c r="F425" s="0" t="n">
        <v>33082.49</v>
      </c>
      <c r="G425" s="0" t="n">
        <v>955304</v>
      </c>
      <c r="H425" s="0" t="n">
        <v>2.9798</v>
      </c>
      <c r="I425" s="0" t="n">
        <v>955304</v>
      </c>
    </row>
    <row r="426" customFormat="false" ht="15" hidden="false" customHeight="false" outlineLevel="0" collapsed="false">
      <c r="A426" s="0" t="n">
        <v>425</v>
      </c>
      <c r="B426" s="0" t="n">
        <v>39.24</v>
      </c>
      <c r="C426" s="0" t="n">
        <v>9.22</v>
      </c>
      <c r="D426" s="0" t="n">
        <v>-18</v>
      </c>
      <c r="E426" s="0" t="n">
        <v>-528749.27</v>
      </c>
      <c r="F426" s="0" t="n">
        <v>10874.95</v>
      </c>
      <c r="G426" s="0" t="n">
        <v>-517874.33</v>
      </c>
      <c r="H426" s="0" t="n">
        <v>-1.6154</v>
      </c>
      <c r="I426" s="0" t="n">
        <v>517874.33</v>
      </c>
    </row>
    <row r="427" customFormat="false" ht="15" hidden="false" customHeight="false" outlineLevel="0" collapsed="false">
      <c r="A427" s="0" t="n">
        <v>426</v>
      </c>
      <c r="B427" s="0" t="n">
        <v>-178.6</v>
      </c>
      <c r="C427" s="0" t="n">
        <v>-28.64</v>
      </c>
      <c r="D427" s="0" t="n">
        <v>-108.82</v>
      </c>
      <c r="E427" s="0" t="n">
        <v>2406681.97</v>
      </c>
      <c r="F427" s="0" t="n">
        <v>225302</v>
      </c>
      <c r="G427" s="0" t="n">
        <v>2631983.96</v>
      </c>
      <c r="H427" s="0" t="n">
        <v>8.2097</v>
      </c>
      <c r="I427" s="0" t="n">
        <v>2631983.96</v>
      </c>
    </row>
    <row r="428" customFormat="false" ht="15" hidden="false" customHeight="false" outlineLevel="0" collapsed="false">
      <c r="A428" s="0" t="n">
        <v>427</v>
      </c>
      <c r="B428" s="0" t="n">
        <v>49.65</v>
      </c>
      <c r="C428" s="0" t="n">
        <v>-23.82</v>
      </c>
      <c r="D428" s="0" t="n">
        <v>-53.97</v>
      </c>
      <c r="E428" s="0" t="n">
        <v>-669089.26</v>
      </c>
      <c r="F428" s="0" t="n">
        <v>17413.89</v>
      </c>
      <c r="G428" s="0" t="n">
        <v>-651675.37</v>
      </c>
      <c r="H428" s="0" t="n">
        <v>-2.0327</v>
      </c>
      <c r="I428" s="0" t="n">
        <v>651675.37</v>
      </c>
    </row>
    <row r="429" customFormat="false" ht="15" hidden="false" customHeight="false" outlineLevel="0" collapsed="false">
      <c r="A429" s="0" t="n">
        <v>428</v>
      </c>
      <c r="B429" s="0" t="n">
        <v>-5.45</v>
      </c>
      <c r="C429" s="0" t="n">
        <v>89.91</v>
      </c>
      <c r="D429" s="0" t="n">
        <v>-48.21</v>
      </c>
      <c r="E429" s="0" t="n">
        <v>73443.4</v>
      </c>
      <c r="F429" s="0" t="n">
        <v>209.81</v>
      </c>
      <c r="G429" s="0" t="n">
        <v>73653.21</v>
      </c>
      <c r="H429" s="0" t="n">
        <v>0.2297</v>
      </c>
      <c r="I429" s="0" t="n">
        <v>73653.21</v>
      </c>
    </row>
    <row r="430" customFormat="false" ht="15" hidden="false" customHeight="false" outlineLevel="0" collapsed="false">
      <c r="A430" s="0" t="n">
        <v>429</v>
      </c>
      <c r="B430" s="0" t="n">
        <v>-184.33</v>
      </c>
      <c r="C430" s="0" t="n">
        <v>-104.77</v>
      </c>
      <c r="D430" s="0" t="n">
        <v>-6.28</v>
      </c>
      <c r="E430" s="0" t="n">
        <v>2483885.86</v>
      </c>
      <c r="F430" s="0" t="n">
        <v>239988.76</v>
      </c>
      <c r="G430" s="0" t="n">
        <v>2723874.62</v>
      </c>
      <c r="H430" s="0" t="n">
        <v>8.4964</v>
      </c>
      <c r="I430" s="0" t="n">
        <v>2723874.62</v>
      </c>
    </row>
    <row r="431" customFormat="false" ht="15" hidden="false" customHeight="false" outlineLevel="0" collapsed="false">
      <c r="A431" s="0" t="n">
        <v>430</v>
      </c>
      <c r="B431" s="0" t="n">
        <v>-77.06</v>
      </c>
      <c r="C431" s="0" t="n">
        <v>-23.07</v>
      </c>
      <c r="D431" s="0" t="n">
        <v>-22.52</v>
      </c>
      <c r="E431" s="0" t="n">
        <v>1038366.85</v>
      </c>
      <c r="F431" s="0" t="n">
        <v>41940.08</v>
      </c>
      <c r="G431" s="0" t="n">
        <v>1080306.93</v>
      </c>
      <c r="H431" s="0" t="n">
        <v>3.3697</v>
      </c>
      <c r="I431" s="0" t="n">
        <v>1080306.93</v>
      </c>
    </row>
    <row r="432" customFormat="false" ht="15" hidden="false" customHeight="false" outlineLevel="0" collapsed="false">
      <c r="A432" s="0" t="n">
        <v>431</v>
      </c>
      <c r="B432" s="0" t="n">
        <v>61.9</v>
      </c>
      <c r="C432" s="0" t="n">
        <v>122.52</v>
      </c>
      <c r="D432" s="0" t="n">
        <v>-31.45</v>
      </c>
      <c r="E432" s="0" t="n">
        <v>-834033.2</v>
      </c>
      <c r="F432" s="0" t="n">
        <v>27057.91</v>
      </c>
      <c r="G432" s="0" t="n">
        <v>-806975.29</v>
      </c>
      <c r="H432" s="0" t="n">
        <v>-2.5171</v>
      </c>
      <c r="I432" s="0" t="n">
        <v>806975.29</v>
      </c>
    </row>
    <row r="433" customFormat="false" ht="15" hidden="false" customHeight="false" outlineLevel="0" collapsed="false">
      <c r="A433" s="0" t="n">
        <v>432</v>
      </c>
      <c r="B433" s="0" t="n">
        <v>195.15</v>
      </c>
      <c r="C433" s="0" t="n">
        <v>75.41</v>
      </c>
      <c r="D433" s="0" t="n">
        <v>50.5</v>
      </c>
      <c r="E433" s="0" t="n">
        <v>-2629603.22</v>
      </c>
      <c r="F433" s="0" t="n">
        <v>268972.62</v>
      </c>
      <c r="G433" s="0" t="n">
        <v>-2360630.6</v>
      </c>
      <c r="H433" s="0" t="n">
        <v>-7.3633</v>
      </c>
      <c r="I433" s="0" t="n">
        <v>2360630.6</v>
      </c>
    </row>
    <row r="434" customFormat="false" ht="15" hidden="false" customHeight="false" outlineLevel="0" collapsed="false">
      <c r="A434" s="0" t="n">
        <v>433</v>
      </c>
      <c r="B434" s="0" t="n">
        <v>-7.18</v>
      </c>
      <c r="C434" s="0" t="n">
        <v>-2.92</v>
      </c>
      <c r="D434" s="0" t="n">
        <v>18.49</v>
      </c>
      <c r="E434" s="0" t="n">
        <v>96758.58</v>
      </c>
      <c r="F434" s="0" t="n">
        <v>364.17</v>
      </c>
      <c r="G434" s="0" t="n">
        <v>97122.75</v>
      </c>
      <c r="H434" s="0" t="n">
        <v>0.3029</v>
      </c>
      <c r="I434" s="0" t="n">
        <v>97122.75</v>
      </c>
    </row>
    <row r="435" customFormat="false" ht="15" hidden="false" customHeight="false" outlineLevel="0" collapsed="false">
      <c r="A435" s="0" t="n">
        <v>434</v>
      </c>
      <c r="B435" s="0" t="n">
        <v>3.71</v>
      </c>
      <c r="C435" s="0" t="n">
        <v>-72.52</v>
      </c>
      <c r="D435" s="0" t="n">
        <v>-15.91</v>
      </c>
      <c r="E435" s="0" t="n">
        <v>-50040.67</v>
      </c>
      <c r="F435" s="0" t="n">
        <v>97.4</v>
      </c>
      <c r="G435" s="0" t="n">
        <v>-49943.26</v>
      </c>
      <c r="H435" s="0" t="n">
        <v>-0.1558</v>
      </c>
      <c r="I435" s="0" t="n">
        <v>49943.26</v>
      </c>
    </row>
    <row r="436" customFormat="false" ht="15" hidden="false" customHeight="false" outlineLevel="0" collapsed="false">
      <c r="A436" s="0" t="n">
        <v>435</v>
      </c>
      <c r="B436" s="0" t="n">
        <v>-99.65</v>
      </c>
      <c r="C436" s="0" t="n">
        <v>3.46</v>
      </c>
      <c r="D436" s="0" t="n">
        <v>53.58</v>
      </c>
      <c r="E436" s="0" t="n">
        <v>1342762.23</v>
      </c>
      <c r="F436" s="0" t="n">
        <v>70133.56</v>
      </c>
      <c r="G436" s="0" t="n">
        <v>1412895.79</v>
      </c>
      <c r="H436" s="0" t="n">
        <v>4.4071</v>
      </c>
      <c r="I436" s="0" t="n">
        <v>1412895.79</v>
      </c>
    </row>
    <row r="437" customFormat="false" ht="15" hidden="false" customHeight="false" outlineLevel="0" collapsed="false">
      <c r="A437" s="0" t="n">
        <v>436</v>
      </c>
      <c r="B437" s="0" t="n">
        <v>99.86</v>
      </c>
      <c r="C437" s="0" t="n">
        <v>-36.15</v>
      </c>
      <c r="D437" s="0" t="n">
        <v>-30.36</v>
      </c>
      <c r="E437" s="0" t="n">
        <v>-1345665.28</v>
      </c>
      <c r="F437" s="0" t="n">
        <v>70437.14</v>
      </c>
      <c r="G437" s="0" t="n">
        <v>-1275228.14</v>
      </c>
      <c r="H437" s="0" t="n">
        <v>-3.9777</v>
      </c>
      <c r="I437" s="0" t="n">
        <v>1275228.14</v>
      </c>
    </row>
    <row r="438" customFormat="false" ht="15" hidden="false" customHeight="false" outlineLevel="0" collapsed="false">
      <c r="A438" s="0" t="n">
        <v>437</v>
      </c>
      <c r="B438" s="0" t="n">
        <v>143.67</v>
      </c>
      <c r="C438" s="0" t="n">
        <v>-57.5</v>
      </c>
      <c r="D438" s="0" t="n">
        <v>-14.49</v>
      </c>
      <c r="E438" s="0" t="n">
        <v>-1935883.78</v>
      </c>
      <c r="F438" s="0" t="n">
        <v>145776.06</v>
      </c>
      <c r="G438" s="0" t="n">
        <v>-1790107.73</v>
      </c>
      <c r="H438" s="0" t="n">
        <v>-5.5837</v>
      </c>
      <c r="I438" s="0" t="n">
        <v>1790107.73</v>
      </c>
    </row>
    <row r="439" customFormat="false" ht="15" hidden="false" customHeight="false" outlineLevel="0" collapsed="false">
      <c r="A439" s="0" t="n">
        <v>438</v>
      </c>
      <c r="B439" s="0" t="n">
        <v>17.33</v>
      </c>
      <c r="C439" s="0" t="n">
        <v>47.84</v>
      </c>
      <c r="D439" s="0" t="n">
        <v>-5.1</v>
      </c>
      <c r="E439" s="0" t="n">
        <v>-233557.51</v>
      </c>
      <c r="F439" s="0" t="n">
        <v>2121.85</v>
      </c>
      <c r="G439" s="0" t="n">
        <v>-231435.66</v>
      </c>
      <c r="H439" s="0" t="n">
        <v>-0.7219</v>
      </c>
      <c r="I439" s="0" t="n">
        <v>231435.66</v>
      </c>
    </row>
    <row r="440" customFormat="false" ht="15" hidden="false" customHeight="false" outlineLevel="0" collapsed="false">
      <c r="A440" s="0" t="n">
        <v>439</v>
      </c>
      <c r="B440" s="0" t="n">
        <v>-79.52</v>
      </c>
      <c r="C440" s="0" t="n">
        <v>-29.39</v>
      </c>
      <c r="D440" s="0" t="n">
        <v>29.13</v>
      </c>
      <c r="E440" s="0" t="n">
        <v>1071583.89</v>
      </c>
      <c r="F440" s="0" t="n">
        <v>44666.3</v>
      </c>
      <c r="G440" s="0" t="n">
        <v>1116250.19</v>
      </c>
      <c r="H440" s="0" t="n">
        <v>3.4818</v>
      </c>
      <c r="I440" s="0" t="n">
        <v>1116250.19</v>
      </c>
    </row>
    <row r="441" customFormat="false" ht="15" hidden="false" customHeight="false" outlineLevel="0" collapsed="false">
      <c r="A441" s="0" t="n">
        <v>440</v>
      </c>
      <c r="B441" s="0" t="n">
        <v>-154.86</v>
      </c>
      <c r="C441" s="0" t="n">
        <v>25.68</v>
      </c>
      <c r="D441" s="0" t="n">
        <v>-1.57</v>
      </c>
      <c r="E441" s="0" t="n">
        <v>2086714.86</v>
      </c>
      <c r="F441" s="0" t="n">
        <v>169376.77</v>
      </c>
      <c r="G441" s="0" t="n">
        <v>2256091.64</v>
      </c>
      <c r="H441" s="0" t="n">
        <v>7.0372</v>
      </c>
      <c r="I441" s="0" t="n">
        <v>2256091.64</v>
      </c>
    </row>
    <row r="442" customFormat="false" ht="15" hidden="false" customHeight="false" outlineLevel="0" collapsed="false">
      <c r="A442" s="0" t="n">
        <v>441</v>
      </c>
      <c r="B442" s="0" t="n">
        <v>-44.97</v>
      </c>
      <c r="C442" s="0" t="n">
        <v>23.8</v>
      </c>
      <c r="D442" s="0" t="n">
        <v>49.38</v>
      </c>
      <c r="E442" s="0" t="n">
        <v>605998.11</v>
      </c>
      <c r="F442" s="0" t="n">
        <v>14284.67</v>
      </c>
      <c r="G442" s="0" t="n">
        <v>620282.78</v>
      </c>
      <c r="H442" s="0" t="n">
        <v>1.9348</v>
      </c>
      <c r="I442" s="0" t="n">
        <v>620282.78</v>
      </c>
    </row>
    <row r="443" customFormat="false" ht="15" hidden="false" customHeight="false" outlineLevel="0" collapsed="false">
      <c r="A443" s="0" t="n">
        <v>442</v>
      </c>
      <c r="B443" s="0" t="n">
        <v>9.69</v>
      </c>
      <c r="C443" s="0" t="n">
        <v>3.99</v>
      </c>
      <c r="D443" s="0" t="n">
        <v>-45.26</v>
      </c>
      <c r="E443" s="0" t="n">
        <v>-130631.9</v>
      </c>
      <c r="F443" s="0" t="n">
        <v>663.78</v>
      </c>
      <c r="G443" s="0" t="n">
        <v>-129968.11</v>
      </c>
      <c r="H443" s="0" t="n">
        <v>-0.4054</v>
      </c>
      <c r="I443" s="0" t="n">
        <v>129968.11</v>
      </c>
    </row>
    <row r="444" customFormat="false" ht="15" hidden="false" customHeight="false" outlineLevel="0" collapsed="false">
      <c r="A444" s="0" t="n">
        <v>443</v>
      </c>
      <c r="B444" s="0" t="n">
        <v>-16.53</v>
      </c>
      <c r="C444" s="0" t="n">
        <v>-31.54</v>
      </c>
      <c r="D444" s="0" t="n">
        <v>17</v>
      </c>
      <c r="E444" s="0" t="n">
        <v>222796.79</v>
      </c>
      <c r="F444" s="0" t="n">
        <v>1930.84</v>
      </c>
      <c r="G444" s="0" t="n">
        <v>224727.62</v>
      </c>
      <c r="H444" s="0" t="n">
        <v>0.701</v>
      </c>
      <c r="I444" s="0" t="n">
        <v>224727.62</v>
      </c>
    </row>
    <row r="445" customFormat="false" ht="15" hidden="false" customHeight="false" outlineLevel="0" collapsed="false">
      <c r="A445" s="0" t="n">
        <v>444</v>
      </c>
      <c r="B445" s="0" t="n">
        <v>-128.13</v>
      </c>
      <c r="C445" s="0" t="n">
        <v>12.69</v>
      </c>
      <c r="D445" s="0" t="n">
        <v>-19.8</v>
      </c>
      <c r="E445" s="0" t="n">
        <v>1726538.72</v>
      </c>
      <c r="F445" s="0" t="n">
        <v>115952.54</v>
      </c>
      <c r="G445" s="0" t="n">
        <v>1842491.27</v>
      </c>
      <c r="H445" s="0" t="n">
        <v>5.7471</v>
      </c>
      <c r="I445" s="0" t="n">
        <v>1842491.27</v>
      </c>
    </row>
    <row r="446" customFormat="false" ht="15" hidden="false" customHeight="false" outlineLevel="0" collapsed="false">
      <c r="A446" s="0" t="n">
        <v>445</v>
      </c>
      <c r="B446" s="0" t="n">
        <v>259.51</v>
      </c>
      <c r="C446" s="0" t="n">
        <v>-16.29</v>
      </c>
      <c r="D446" s="0" t="n">
        <v>34.03</v>
      </c>
      <c r="E446" s="0" t="n">
        <v>-3496840.25</v>
      </c>
      <c r="F446" s="0" t="n">
        <v>475640.93</v>
      </c>
      <c r="G446" s="0" t="n">
        <v>-3021199.32</v>
      </c>
      <c r="H446" s="0" t="n">
        <v>-9.4238</v>
      </c>
      <c r="I446" s="0" t="n">
        <v>3021199.32</v>
      </c>
    </row>
    <row r="447" customFormat="false" ht="15" hidden="false" customHeight="false" outlineLevel="0" collapsed="false">
      <c r="A447" s="0" t="n">
        <v>446</v>
      </c>
      <c r="B447" s="0" t="n">
        <v>26.7</v>
      </c>
      <c r="C447" s="0" t="n">
        <v>-19.43</v>
      </c>
      <c r="D447" s="0" t="n">
        <v>-39.25</v>
      </c>
      <c r="E447" s="0" t="n">
        <v>-359797.73</v>
      </c>
      <c r="F447" s="0" t="n">
        <v>5035.52</v>
      </c>
      <c r="G447" s="0" t="n">
        <v>-354762.21</v>
      </c>
      <c r="H447" s="0" t="n">
        <v>-1.1066</v>
      </c>
      <c r="I447" s="0" t="n">
        <v>354762.21</v>
      </c>
    </row>
    <row r="448" customFormat="false" ht="15" hidden="false" customHeight="false" outlineLevel="0" collapsed="false">
      <c r="A448" s="0" t="n">
        <v>447</v>
      </c>
      <c r="B448" s="0" t="n">
        <v>287.87</v>
      </c>
      <c r="C448" s="0" t="n">
        <v>6.46</v>
      </c>
      <c r="D448" s="0" t="n">
        <v>-9.38</v>
      </c>
      <c r="E448" s="0" t="n">
        <v>-3879027.35</v>
      </c>
      <c r="F448" s="0" t="n">
        <v>585292.98</v>
      </c>
      <c r="G448" s="0" t="n">
        <v>-3293734.37</v>
      </c>
      <c r="H448" s="0" t="n">
        <v>-10.2739</v>
      </c>
      <c r="I448" s="0" t="n">
        <v>3293734.37</v>
      </c>
    </row>
    <row r="449" customFormat="false" ht="15" hidden="false" customHeight="false" outlineLevel="0" collapsed="false">
      <c r="A449" s="0" t="n">
        <v>448</v>
      </c>
      <c r="B449" s="0" t="n">
        <v>-37.06</v>
      </c>
      <c r="C449" s="0" t="n">
        <v>-10.07</v>
      </c>
      <c r="D449" s="0" t="n">
        <v>34.82</v>
      </c>
      <c r="E449" s="0" t="n">
        <v>499409.23</v>
      </c>
      <c r="F449" s="0" t="n">
        <v>9701.54</v>
      </c>
      <c r="G449" s="0" t="n">
        <v>509110.77</v>
      </c>
      <c r="H449" s="0" t="n">
        <v>1.588</v>
      </c>
      <c r="I449" s="0" t="n">
        <v>509110.77</v>
      </c>
    </row>
    <row r="450" customFormat="false" ht="15" hidden="false" customHeight="false" outlineLevel="0" collapsed="false">
      <c r="A450" s="0" t="n">
        <v>449</v>
      </c>
      <c r="B450" s="0" t="n">
        <v>31.45</v>
      </c>
      <c r="C450" s="0" t="n">
        <v>28.8</v>
      </c>
      <c r="D450" s="0" t="n">
        <v>-3.15</v>
      </c>
      <c r="E450" s="0" t="n">
        <v>-423740.84</v>
      </c>
      <c r="F450" s="0" t="n">
        <v>6984.39</v>
      </c>
      <c r="G450" s="0" t="n">
        <v>-416756.45</v>
      </c>
      <c r="H450" s="0" t="n">
        <v>-1.3</v>
      </c>
      <c r="I450" s="0" t="n">
        <v>416756.45</v>
      </c>
    </row>
    <row r="451" customFormat="false" ht="15" hidden="false" customHeight="false" outlineLevel="0" collapsed="false">
      <c r="A451" s="0" t="n">
        <v>450</v>
      </c>
      <c r="B451" s="0" t="n">
        <v>-148.98</v>
      </c>
      <c r="C451" s="0" t="n">
        <v>-24.79</v>
      </c>
      <c r="D451" s="0" t="n">
        <v>-11.24</v>
      </c>
      <c r="E451" s="0" t="n">
        <v>2007523.07</v>
      </c>
      <c r="F451" s="0" t="n">
        <v>156764.86</v>
      </c>
      <c r="G451" s="0" t="n">
        <v>2164287.93</v>
      </c>
      <c r="H451" s="0" t="n">
        <v>6.7509</v>
      </c>
      <c r="I451" s="0" t="n">
        <v>2164287.93</v>
      </c>
    </row>
    <row r="452" customFormat="false" ht="15" hidden="false" customHeight="false" outlineLevel="0" collapsed="false">
      <c r="A452" s="0" t="n">
        <v>451</v>
      </c>
      <c r="B452" s="0" t="n">
        <v>-140.79</v>
      </c>
      <c r="C452" s="0" t="n">
        <v>-43.54</v>
      </c>
      <c r="D452" s="0" t="n">
        <v>48.64</v>
      </c>
      <c r="E452" s="0" t="n">
        <v>1897152.57</v>
      </c>
      <c r="F452" s="0" t="n">
        <v>140001.33</v>
      </c>
      <c r="G452" s="0" t="n">
        <v>2037153.89</v>
      </c>
      <c r="H452" s="0" t="n">
        <v>6.3543</v>
      </c>
      <c r="I452" s="0" t="n">
        <v>2037153.89</v>
      </c>
    </row>
    <row r="453" customFormat="false" ht="15" hidden="false" customHeight="false" outlineLevel="0" collapsed="false">
      <c r="A453" s="0" t="n">
        <v>452</v>
      </c>
      <c r="B453" s="0" t="n">
        <v>167.16</v>
      </c>
      <c r="C453" s="0" t="n">
        <v>63.48</v>
      </c>
      <c r="D453" s="0" t="n">
        <v>-48.8</v>
      </c>
      <c r="E453" s="0" t="n">
        <v>-2252506.19</v>
      </c>
      <c r="F453" s="0" t="n">
        <v>197360.22</v>
      </c>
      <c r="G453" s="0" t="n">
        <v>-2055145.97</v>
      </c>
      <c r="H453" s="0" t="n">
        <v>-6.4104</v>
      </c>
      <c r="I453" s="0" t="n">
        <v>2055145.97</v>
      </c>
    </row>
    <row r="454" customFormat="false" ht="15" hidden="false" customHeight="false" outlineLevel="0" collapsed="false">
      <c r="A454" s="0" t="n">
        <v>453</v>
      </c>
      <c r="B454" s="0" t="n">
        <v>-10.59</v>
      </c>
      <c r="C454" s="0" t="n">
        <v>-39.69</v>
      </c>
      <c r="D454" s="0" t="n">
        <v>3.74</v>
      </c>
      <c r="E454" s="0" t="n">
        <v>142651.25</v>
      </c>
      <c r="F454" s="0" t="n">
        <v>791.55</v>
      </c>
      <c r="G454" s="0" t="n">
        <v>143442.8</v>
      </c>
      <c r="H454" s="0" t="n">
        <v>0.4474</v>
      </c>
      <c r="I454" s="0" t="n">
        <v>143442.8</v>
      </c>
    </row>
    <row r="455" customFormat="false" ht="15" hidden="false" customHeight="false" outlineLevel="0" collapsed="false">
      <c r="A455" s="0" t="n">
        <v>454</v>
      </c>
      <c r="B455" s="0" t="n">
        <v>-17.68</v>
      </c>
      <c r="C455" s="0" t="n">
        <v>73.9</v>
      </c>
      <c r="D455" s="0" t="n">
        <v>-8.51</v>
      </c>
      <c r="E455" s="0" t="n">
        <v>238264.49</v>
      </c>
      <c r="F455" s="0" t="n">
        <v>2208.24</v>
      </c>
      <c r="G455" s="0" t="n">
        <v>240472.73</v>
      </c>
      <c r="H455" s="0" t="n">
        <v>0.7501</v>
      </c>
      <c r="I455" s="0" t="n">
        <v>240472.73</v>
      </c>
    </row>
    <row r="456" customFormat="false" ht="15" hidden="false" customHeight="false" outlineLevel="0" collapsed="false">
      <c r="A456" s="0" t="n">
        <v>455</v>
      </c>
      <c r="B456" s="0" t="n">
        <v>-113.68</v>
      </c>
      <c r="C456" s="0" t="n">
        <v>-49.77</v>
      </c>
      <c r="D456" s="0" t="n">
        <v>1.39</v>
      </c>
      <c r="E456" s="0" t="n">
        <v>1531866.45</v>
      </c>
      <c r="F456" s="0" t="n">
        <v>91278.7</v>
      </c>
      <c r="G456" s="0" t="n">
        <v>1623145.14</v>
      </c>
      <c r="H456" s="0" t="n">
        <v>5.0629</v>
      </c>
      <c r="I456" s="0" t="n">
        <v>1623145.14</v>
      </c>
    </row>
    <row r="457" customFormat="false" ht="15" hidden="false" customHeight="false" outlineLevel="0" collapsed="false">
      <c r="A457" s="0" t="n">
        <v>456</v>
      </c>
      <c r="B457" s="0" t="n">
        <v>-4.19</v>
      </c>
      <c r="C457" s="0" t="n">
        <v>-67.07</v>
      </c>
      <c r="D457" s="0" t="n">
        <v>19.83</v>
      </c>
      <c r="E457" s="0" t="n">
        <v>56498.33</v>
      </c>
      <c r="F457" s="0" t="n">
        <v>124.16</v>
      </c>
      <c r="G457" s="0" t="n">
        <v>56622.49</v>
      </c>
      <c r="H457" s="0" t="n">
        <v>0.1766</v>
      </c>
      <c r="I457" s="0" t="n">
        <v>56622.49</v>
      </c>
    </row>
    <row r="458" customFormat="false" ht="15" hidden="false" customHeight="false" outlineLevel="0" collapsed="false">
      <c r="A458" s="0" t="n">
        <v>457</v>
      </c>
      <c r="B458" s="0" t="n">
        <v>-115.25</v>
      </c>
      <c r="C458" s="0" t="n">
        <v>-79.34</v>
      </c>
      <c r="D458" s="0" t="n">
        <v>-25.62</v>
      </c>
      <c r="E458" s="0" t="n">
        <v>1552956.69</v>
      </c>
      <c r="F458" s="0" t="n">
        <v>93809.39</v>
      </c>
      <c r="G458" s="0" t="n">
        <v>1646766.08</v>
      </c>
      <c r="H458" s="0" t="n">
        <v>5.1366</v>
      </c>
      <c r="I458" s="0" t="n">
        <v>1646766.08</v>
      </c>
    </row>
    <row r="459" customFormat="false" ht="15" hidden="false" customHeight="false" outlineLevel="0" collapsed="false">
      <c r="A459" s="0" t="n">
        <v>458</v>
      </c>
      <c r="B459" s="0" t="n">
        <v>172.94</v>
      </c>
      <c r="C459" s="0" t="n">
        <v>-21.24</v>
      </c>
      <c r="D459" s="0" t="n">
        <v>8.44</v>
      </c>
      <c r="E459" s="0" t="n">
        <v>-2330393.55</v>
      </c>
      <c r="F459" s="0" t="n">
        <v>211244.87</v>
      </c>
      <c r="G459" s="0" t="n">
        <v>-2119148.68</v>
      </c>
      <c r="H459" s="0" t="n">
        <v>-6.6101</v>
      </c>
      <c r="I459" s="0" t="n">
        <v>2119148.68</v>
      </c>
    </row>
    <row r="460" customFormat="false" ht="15" hidden="false" customHeight="false" outlineLevel="0" collapsed="false">
      <c r="A460" s="0" t="n">
        <v>459</v>
      </c>
      <c r="B460" s="0" t="n">
        <v>-116.22</v>
      </c>
      <c r="C460" s="0" t="n">
        <v>-6.71</v>
      </c>
      <c r="D460" s="0" t="n">
        <v>-8.89</v>
      </c>
      <c r="E460" s="0" t="n">
        <v>1566034.64</v>
      </c>
      <c r="F460" s="0" t="n">
        <v>95396.04</v>
      </c>
      <c r="G460" s="0" t="n">
        <v>1661430.68</v>
      </c>
      <c r="H460" s="0" t="n">
        <v>5.1824</v>
      </c>
      <c r="I460" s="0" t="n">
        <v>1661430.68</v>
      </c>
    </row>
    <row r="461" customFormat="false" ht="15" hidden="false" customHeight="false" outlineLevel="0" collapsed="false">
      <c r="A461" s="0" t="n">
        <v>460</v>
      </c>
      <c r="B461" s="0" t="n">
        <v>-3.23</v>
      </c>
      <c r="C461" s="0" t="n">
        <v>-2.79</v>
      </c>
      <c r="D461" s="0" t="n">
        <v>-9.15</v>
      </c>
      <c r="E461" s="0" t="n">
        <v>43471.97</v>
      </c>
      <c r="F461" s="0" t="n">
        <v>73.51</v>
      </c>
      <c r="G461" s="0" t="n">
        <v>43545.48</v>
      </c>
      <c r="H461" s="0" t="n">
        <v>0.1358</v>
      </c>
      <c r="I461" s="0" t="n">
        <v>43545.48</v>
      </c>
    </row>
    <row r="462" customFormat="false" ht="15" hidden="false" customHeight="false" outlineLevel="0" collapsed="false">
      <c r="A462" s="0" t="n">
        <v>461</v>
      </c>
      <c r="B462" s="0" t="n">
        <v>107.44</v>
      </c>
      <c r="C462" s="0" t="n">
        <v>-30.24</v>
      </c>
      <c r="D462" s="0" t="n">
        <v>-12.1</v>
      </c>
      <c r="E462" s="0" t="n">
        <v>-1447805.94</v>
      </c>
      <c r="F462" s="0" t="n">
        <v>81535.8</v>
      </c>
      <c r="G462" s="0" t="n">
        <v>-1366270.14</v>
      </c>
      <c r="H462" s="0" t="n">
        <v>-4.2617</v>
      </c>
      <c r="I462" s="0" t="n">
        <v>1366270.14</v>
      </c>
    </row>
    <row r="463" customFormat="false" ht="15" hidden="false" customHeight="false" outlineLevel="0" collapsed="false">
      <c r="A463" s="0" t="n">
        <v>462</v>
      </c>
      <c r="B463" s="0" t="n">
        <v>91.22</v>
      </c>
      <c r="C463" s="0" t="n">
        <v>-52.26</v>
      </c>
      <c r="D463" s="0" t="n">
        <v>53.24</v>
      </c>
      <c r="E463" s="0" t="n">
        <v>-1229184.79</v>
      </c>
      <c r="F463" s="0" t="n">
        <v>58770.85</v>
      </c>
      <c r="G463" s="0" t="n">
        <v>-1170413.94</v>
      </c>
      <c r="H463" s="0" t="n">
        <v>-3.6508</v>
      </c>
      <c r="I463" s="0" t="n">
        <v>1170413.94</v>
      </c>
    </row>
    <row r="464" customFormat="false" ht="15" hidden="false" customHeight="false" outlineLevel="0" collapsed="false">
      <c r="A464" s="0" t="n">
        <v>463</v>
      </c>
      <c r="B464" s="0" t="n">
        <v>107.9</v>
      </c>
      <c r="C464" s="0" t="n">
        <v>-142.3</v>
      </c>
      <c r="D464" s="0" t="n">
        <v>7</v>
      </c>
      <c r="E464" s="0" t="n">
        <v>-1453889.99</v>
      </c>
      <c r="F464" s="0" t="n">
        <v>82222.51</v>
      </c>
      <c r="G464" s="0" t="n">
        <v>-1371667.48</v>
      </c>
      <c r="H464" s="0" t="n">
        <v>-4.2785</v>
      </c>
      <c r="I464" s="0" t="n">
        <v>1371667.48</v>
      </c>
    </row>
    <row r="465" customFormat="false" ht="15" hidden="false" customHeight="false" outlineLevel="0" collapsed="false">
      <c r="A465" s="0" t="n">
        <v>464</v>
      </c>
      <c r="B465" s="0" t="n">
        <v>151.16</v>
      </c>
      <c r="C465" s="0" t="n">
        <v>107.65</v>
      </c>
      <c r="D465" s="0" t="n">
        <v>-17.55</v>
      </c>
      <c r="E465" s="0" t="n">
        <v>-2036915.83</v>
      </c>
      <c r="F465" s="0" t="n">
        <v>161388.95</v>
      </c>
      <c r="G465" s="0" t="n">
        <v>-1875526.88</v>
      </c>
      <c r="H465" s="0" t="n">
        <v>-5.8502</v>
      </c>
      <c r="I465" s="0" t="n">
        <v>1875526.88</v>
      </c>
    </row>
    <row r="466" customFormat="false" ht="15" hidden="false" customHeight="false" outlineLevel="0" collapsed="false">
      <c r="A466" s="0" t="n">
        <v>465</v>
      </c>
      <c r="B466" s="0" t="n">
        <v>29.28</v>
      </c>
      <c r="C466" s="0" t="n">
        <v>42.22</v>
      </c>
      <c r="D466" s="0" t="n">
        <v>38.8</v>
      </c>
      <c r="E466" s="0" t="n">
        <v>-394523.81</v>
      </c>
      <c r="F466" s="0" t="n">
        <v>6054.44</v>
      </c>
      <c r="G466" s="0" t="n">
        <v>-388469.37</v>
      </c>
      <c r="H466" s="0" t="n">
        <v>-1.2117</v>
      </c>
      <c r="I466" s="0" t="n">
        <v>388469.37</v>
      </c>
    </row>
    <row r="467" customFormat="false" ht="15" hidden="false" customHeight="false" outlineLevel="0" collapsed="false">
      <c r="A467" s="0" t="n">
        <v>466</v>
      </c>
      <c r="B467" s="0" t="n">
        <v>53.9</v>
      </c>
      <c r="C467" s="0" t="n">
        <v>52.36</v>
      </c>
      <c r="D467" s="0" t="n">
        <v>5.56</v>
      </c>
      <c r="E467" s="0" t="n">
        <v>-726294.94</v>
      </c>
      <c r="F467" s="0" t="n">
        <v>20518.88</v>
      </c>
      <c r="G467" s="0" t="n">
        <v>-705776.06</v>
      </c>
      <c r="H467" s="0" t="n">
        <v>-2.2015</v>
      </c>
      <c r="I467" s="0" t="n">
        <v>705776.06</v>
      </c>
    </row>
    <row r="468" customFormat="false" ht="15" hidden="false" customHeight="false" outlineLevel="0" collapsed="false">
      <c r="A468" s="0" t="n">
        <v>467</v>
      </c>
      <c r="B468" s="0" t="n">
        <v>176.61</v>
      </c>
      <c r="C468" s="0" t="n">
        <v>13.43</v>
      </c>
      <c r="D468" s="0" t="n">
        <v>52.76</v>
      </c>
      <c r="E468" s="0" t="n">
        <v>-2379815.74</v>
      </c>
      <c r="F468" s="0" t="n">
        <v>220299.9</v>
      </c>
      <c r="G468" s="0" t="n">
        <v>-2159515.84</v>
      </c>
      <c r="H468" s="0" t="n">
        <v>-6.736</v>
      </c>
      <c r="I468" s="0" t="n">
        <v>2159515.84</v>
      </c>
    </row>
    <row r="469" customFormat="false" ht="15" hidden="false" customHeight="false" outlineLevel="0" collapsed="false">
      <c r="A469" s="0" t="n">
        <v>468</v>
      </c>
      <c r="B469" s="0" t="n">
        <v>-76.03</v>
      </c>
      <c r="C469" s="0" t="n">
        <v>1.01</v>
      </c>
      <c r="D469" s="0" t="n">
        <v>33.98</v>
      </c>
      <c r="E469" s="0" t="n">
        <v>1024516.69</v>
      </c>
      <c r="F469" s="0" t="n">
        <v>40828.71</v>
      </c>
      <c r="G469" s="0" t="n">
        <v>1065345.41</v>
      </c>
      <c r="H469" s="0" t="n">
        <v>3.323</v>
      </c>
      <c r="I469" s="0" t="n">
        <v>1065345.41</v>
      </c>
    </row>
    <row r="470" customFormat="false" ht="15" hidden="false" customHeight="false" outlineLevel="0" collapsed="false">
      <c r="A470" s="0" t="n">
        <v>469</v>
      </c>
      <c r="B470" s="0" t="n">
        <v>182.75</v>
      </c>
      <c r="C470" s="0" t="n">
        <v>-24.19</v>
      </c>
      <c r="D470" s="0" t="n">
        <v>15.81</v>
      </c>
      <c r="E470" s="0" t="n">
        <v>-2462491.47</v>
      </c>
      <c r="F470" s="0" t="n">
        <v>235872.39</v>
      </c>
      <c r="G470" s="0" t="n">
        <v>-2226619.09</v>
      </c>
      <c r="H470" s="0" t="n">
        <v>-6.9453</v>
      </c>
      <c r="I470" s="0" t="n">
        <v>2226619.09</v>
      </c>
    </row>
    <row r="471" customFormat="false" ht="15" hidden="false" customHeight="false" outlineLevel="0" collapsed="false">
      <c r="A471" s="0" t="n">
        <v>470</v>
      </c>
      <c r="B471" s="0" t="n">
        <v>-109.04</v>
      </c>
      <c r="C471" s="0" t="n">
        <v>1.62</v>
      </c>
      <c r="D471" s="0" t="n">
        <v>11.63</v>
      </c>
      <c r="E471" s="0" t="n">
        <v>1469334.95</v>
      </c>
      <c r="F471" s="0" t="n">
        <v>83978.72</v>
      </c>
      <c r="G471" s="0" t="n">
        <v>1553313.67</v>
      </c>
      <c r="H471" s="0" t="n">
        <v>4.8451</v>
      </c>
      <c r="I471" s="0" t="n">
        <v>1553313.67</v>
      </c>
    </row>
    <row r="472" customFormat="false" ht="15" hidden="false" customHeight="false" outlineLevel="0" collapsed="false">
      <c r="A472" s="0" t="n">
        <v>471</v>
      </c>
      <c r="B472" s="0" t="n">
        <v>-86.94</v>
      </c>
      <c r="C472" s="0" t="n">
        <v>-31.57</v>
      </c>
      <c r="D472" s="0" t="n">
        <v>26.91</v>
      </c>
      <c r="E472" s="0" t="n">
        <v>1171471.75</v>
      </c>
      <c r="F472" s="0" t="n">
        <v>53381.56</v>
      </c>
      <c r="G472" s="0" t="n">
        <v>1224853.32</v>
      </c>
      <c r="H472" s="0" t="n">
        <v>3.8206</v>
      </c>
      <c r="I472" s="0" t="n">
        <v>1224853.32</v>
      </c>
    </row>
    <row r="473" customFormat="false" ht="15" hidden="false" customHeight="false" outlineLevel="0" collapsed="false">
      <c r="A473" s="0" t="n">
        <v>472</v>
      </c>
      <c r="B473" s="0" t="n">
        <v>61.51</v>
      </c>
      <c r="C473" s="0" t="n">
        <v>95.89</v>
      </c>
      <c r="D473" s="0" t="n">
        <v>57.41</v>
      </c>
      <c r="E473" s="0" t="n">
        <v>-828839.24</v>
      </c>
      <c r="F473" s="0" t="n">
        <v>26721.96</v>
      </c>
      <c r="G473" s="0" t="n">
        <v>-802117.28</v>
      </c>
      <c r="H473" s="0" t="n">
        <v>-2.502</v>
      </c>
      <c r="I473" s="0" t="n">
        <v>802117.28</v>
      </c>
    </row>
    <row r="474" customFormat="false" ht="15" hidden="false" customHeight="false" outlineLevel="0" collapsed="false">
      <c r="A474" s="0" t="n">
        <v>473</v>
      </c>
      <c r="B474" s="0" t="n">
        <v>84.32</v>
      </c>
      <c r="C474" s="0" t="n">
        <v>-24.32</v>
      </c>
      <c r="D474" s="0" t="n">
        <v>35.56</v>
      </c>
      <c r="E474" s="0" t="n">
        <v>-1136228.45</v>
      </c>
      <c r="F474" s="0" t="n">
        <v>50217.95</v>
      </c>
      <c r="G474" s="0" t="n">
        <v>-1086010.5</v>
      </c>
      <c r="H474" s="0" t="n">
        <v>-3.3875</v>
      </c>
      <c r="I474" s="0" t="n">
        <v>1086010.5</v>
      </c>
    </row>
    <row r="475" customFormat="false" ht="15" hidden="false" customHeight="false" outlineLevel="0" collapsed="false">
      <c r="A475" s="0" t="n">
        <v>474</v>
      </c>
      <c r="B475" s="0" t="n">
        <v>-97.95</v>
      </c>
      <c r="C475" s="0" t="n">
        <v>3.64</v>
      </c>
      <c r="D475" s="0" t="n">
        <v>-10.51</v>
      </c>
      <c r="E475" s="0" t="n">
        <v>1319837.3</v>
      </c>
      <c r="F475" s="0" t="n">
        <v>67759.22</v>
      </c>
      <c r="G475" s="0" t="n">
        <v>1387596.53</v>
      </c>
      <c r="H475" s="0" t="n">
        <v>4.3282</v>
      </c>
      <c r="I475" s="0" t="n">
        <v>1387596.53</v>
      </c>
    </row>
    <row r="476" customFormat="false" ht="15" hidden="false" customHeight="false" outlineLevel="0" collapsed="false">
      <c r="A476" s="0" t="n">
        <v>475</v>
      </c>
      <c r="B476" s="0" t="n">
        <v>10.85</v>
      </c>
      <c r="C476" s="0" t="n">
        <v>-15.88</v>
      </c>
      <c r="D476" s="0" t="n">
        <v>-24.48</v>
      </c>
      <c r="E476" s="0" t="n">
        <v>-146221.45</v>
      </c>
      <c r="F476" s="0" t="n">
        <v>831.67</v>
      </c>
      <c r="G476" s="0" t="n">
        <v>-145389.78</v>
      </c>
      <c r="H476" s="0" t="n">
        <v>-0.4535</v>
      </c>
      <c r="I476" s="0" t="n">
        <v>145389.78</v>
      </c>
    </row>
    <row r="477" customFormat="false" ht="15" hidden="false" customHeight="false" outlineLevel="0" collapsed="false">
      <c r="A477" s="0" t="n">
        <v>476</v>
      </c>
      <c r="B477" s="0" t="n">
        <v>-68.16</v>
      </c>
      <c r="C477" s="0" t="n">
        <v>13.59</v>
      </c>
      <c r="D477" s="0" t="n">
        <v>6.07</v>
      </c>
      <c r="E477" s="0" t="n">
        <v>918448.39</v>
      </c>
      <c r="F477" s="0" t="n">
        <v>32812.34</v>
      </c>
      <c r="G477" s="0" t="n">
        <v>951260.73</v>
      </c>
      <c r="H477" s="0" t="n">
        <v>2.9672</v>
      </c>
      <c r="I477" s="0" t="n">
        <v>951260.73</v>
      </c>
    </row>
    <row r="478" customFormat="false" ht="15" hidden="false" customHeight="false" outlineLevel="0" collapsed="false">
      <c r="A478" s="0" t="n">
        <v>477</v>
      </c>
      <c r="B478" s="0" t="n">
        <v>184.38</v>
      </c>
      <c r="C478" s="0" t="n">
        <v>31.37</v>
      </c>
      <c r="D478" s="0" t="n">
        <v>-33.9</v>
      </c>
      <c r="E478" s="0" t="n">
        <v>-2484521.98</v>
      </c>
      <c r="F478" s="0" t="n">
        <v>240111.7</v>
      </c>
      <c r="G478" s="0" t="n">
        <v>-2244410.29</v>
      </c>
      <c r="H478" s="0" t="n">
        <v>-7.0008</v>
      </c>
      <c r="I478" s="0" t="n">
        <v>2244410.29</v>
      </c>
    </row>
    <row r="479" customFormat="false" ht="15" hidden="false" customHeight="false" outlineLevel="0" collapsed="false">
      <c r="A479" s="0" t="n">
        <v>478</v>
      </c>
      <c r="B479" s="0" t="n">
        <v>80.28</v>
      </c>
      <c r="C479" s="0" t="n">
        <v>-84.79</v>
      </c>
      <c r="D479" s="0" t="n">
        <v>31.79</v>
      </c>
      <c r="E479" s="0" t="n">
        <v>-1081732.15</v>
      </c>
      <c r="F479" s="0" t="n">
        <v>45516.32</v>
      </c>
      <c r="G479" s="0" t="n">
        <v>-1036215.84</v>
      </c>
      <c r="H479" s="0" t="n">
        <v>-3.2322</v>
      </c>
      <c r="I479" s="0" t="n">
        <v>1036215.84</v>
      </c>
    </row>
    <row r="480" customFormat="false" ht="15" hidden="false" customHeight="false" outlineLevel="0" collapsed="false">
      <c r="A480" s="0" t="n">
        <v>479</v>
      </c>
      <c r="B480" s="0" t="n">
        <v>32.63</v>
      </c>
      <c r="C480" s="0" t="n">
        <v>-68.01</v>
      </c>
      <c r="D480" s="0" t="n">
        <v>-32.09</v>
      </c>
      <c r="E480" s="0" t="n">
        <v>-439696</v>
      </c>
      <c r="F480" s="0" t="n">
        <v>7520.26</v>
      </c>
      <c r="G480" s="0" t="n">
        <v>-432175.74</v>
      </c>
      <c r="H480" s="0" t="n">
        <v>-1.348</v>
      </c>
      <c r="I480" s="0" t="n">
        <v>432175.74</v>
      </c>
    </row>
    <row r="481" customFormat="false" ht="15" hidden="false" customHeight="false" outlineLevel="0" collapsed="false">
      <c r="A481" s="0" t="n">
        <v>480</v>
      </c>
      <c r="B481" s="0" t="n">
        <v>32.24</v>
      </c>
      <c r="C481" s="0" t="n">
        <v>-62.6</v>
      </c>
      <c r="D481" s="0" t="n">
        <v>18.22</v>
      </c>
      <c r="E481" s="0" t="n">
        <v>-434389.78</v>
      </c>
      <c r="F481" s="0" t="n">
        <v>7339.84</v>
      </c>
      <c r="G481" s="0" t="n">
        <v>-427049.93</v>
      </c>
      <c r="H481" s="0" t="n">
        <v>-1.3321</v>
      </c>
      <c r="I481" s="0" t="n">
        <v>427049.93</v>
      </c>
    </row>
    <row r="482" customFormat="false" ht="15" hidden="false" customHeight="false" outlineLevel="0" collapsed="false">
      <c r="A482" s="0" t="n">
        <v>481</v>
      </c>
      <c r="B482" s="0" t="n">
        <v>116.69</v>
      </c>
      <c r="C482" s="0" t="n">
        <v>43.11</v>
      </c>
      <c r="D482" s="0" t="n">
        <v>-3.09</v>
      </c>
      <c r="E482" s="0" t="n">
        <v>-1572344.13</v>
      </c>
      <c r="F482" s="0" t="n">
        <v>96166.29</v>
      </c>
      <c r="G482" s="0" t="n">
        <v>-1476177.85</v>
      </c>
      <c r="H482" s="0" t="n">
        <v>-4.6045</v>
      </c>
      <c r="I482" s="0" t="n">
        <v>1476177.85</v>
      </c>
    </row>
    <row r="483" customFormat="false" ht="15" hidden="false" customHeight="false" outlineLevel="0" collapsed="false">
      <c r="A483" s="0" t="n">
        <v>482</v>
      </c>
      <c r="B483" s="0" t="n">
        <v>-20.49</v>
      </c>
      <c r="C483" s="0" t="n">
        <v>-66.18</v>
      </c>
      <c r="D483" s="0" t="n">
        <v>-4.31</v>
      </c>
      <c r="E483" s="0" t="n">
        <v>276121.52</v>
      </c>
      <c r="F483" s="0" t="n">
        <v>2965.71</v>
      </c>
      <c r="G483" s="0" t="n">
        <v>279087.23</v>
      </c>
      <c r="H483" s="0" t="n">
        <v>0.8705</v>
      </c>
      <c r="I483" s="0" t="n">
        <v>279087.23</v>
      </c>
    </row>
    <row r="484" customFormat="false" ht="15" hidden="false" customHeight="false" outlineLevel="0" collapsed="false">
      <c r="A484" s="0" t="n">
        <v>483</v>
      </c>
      <c r="B484" s="0" t="n">
        <v>12.24</v>
      </c>
      <c r="C484" s="0" t="n">
        <v>4.94</v>
      </c>
      <c r="D484" s="0" t="n">
        <v>-9.19</v>
      </c>
      <c r="E484" s="0" t="n">
        <v>-164952.02</v>
      </c>
      <c r="F484" s="0" t="n">
        <v>1058.38</v>
      </c>
      <c r="G484" s="0" t="n">
        <v>-163893.64</v>
      </c>
      <c r="H484" s="0" t="n">
        <v>-0.5112</v>
      </c>
      <c r="I484" s="0" t="n">
        <v>163893.64</v>
      </c>
    </row>
    <row r="485" customFormat="false" ht="15" hidden="false" customHeight="false" outlineLevel="0" collapsed="false">
      <c r="A485" s="0" t="n">
        <v>484</v>
      </c>
      <c r="B485" s="0" t="n">
        <v>-130.52</v>
      </c>
      <c r="C485" s="0" t="n">
        <v>58.5</v>
      </c>
      <c r="D485" s="0" t="n">
        <v>-54.71</v>
      </c>
      <c r="E485" s="0" t="n">
        <v>1758694.78</v>
      </c>
      <c r="F485" s="0" t="n">
        <v>120311.9</v>
      </c>
      <c r="G485" s="0" t="n">
        <v>1879006.67</v>
      </c>
      <c r="H485" s="0" t="n">
        <v>5.861</v>
      </c>
      <c r="I485" s="0" t="n">
        <v>1879006.67</v>
      </c>
    </row>
    <row r="486" customFormat="false" ht="15" hidden="false" customHeight="false" outlineLevel="0" collapsed="false">
      <c r="A486" s="0" t="n">
        <v>485</v>
      </c>
      <c r="B486" s="0" t="n">
        <v>83.81</v>
      </c>
      <c r="C486" s="0" t="n">
        <v>42.42</v>
      </c>
      <c r="D486" s="0" t="n">
        <v>-21.14</v>
      </c>
      <c r="E486" s="0" t="n">
        <v>-1129272.49</v>
      </c>
      <c r="F486" s="0" t="n">
        <v>49604.96</v>
      </c>
      <c r="G486" s="0" t="n">
        <v>-1079667.53</v>
      </c>
      <c r="H486" s="0" t="n">
        <v>-3.3677</v>
      </c>
      <c r="I486" s="0" t="n">
        <v>1079667.53</v>
      </c>
    </row>
    <row r="487" customFormat="false" ht="15" hidden="false" customHeight="false" outlineLevel="0" collapsed="false">
      <c r="A487" s="0" t="n">
        <v>486</v>
      </c>
      <c r="B487" s="0" t="n">
        <v>90.38</v>
      </c>
      <c r="C487" s="0" t="n">
        <v>-23.26</v>
      </c>
      <c r="D487" s="0" t="n">
        <v>-13.25</v>
      </c>
      <c r="E487" s="0" t="n">
        <v>-1217817.18</v>
      </c>
      <c r="F487" s="0" t="n">
        <v>57688.84</v>
      </c>
      <c r="G487" s="0" t="n">
        <v>-1160128.34</v>
      </c>
      <c r="H487" s="0" t="n">
        <v>-3.6187</v>
      </c>
      <c r="I487" s="0" t="n">
        <v>1160128.34</v>
      </c>
    </row>
    <row r="488" customFormat="false" ht="15" hidden="false" customHeight="false" outlineLevel="0" collapsed="false">
      <c r="A488" s="0" t="n">
        <v>487</v>
      </c>
      <c r="B488" s="0" t="n">
        <v>19.47</v>
      </c>
      <c r="C488" s="0" t="n">
        <v>11.43</v>
      </c>
      <c r="D488" s="0" t="n">
        <v>27.64</v>
      </c>
      <c r="E488" s="0" t="n">
        <v>-262412.9</v>
      </c>
      <c r="F488" s="0" t="n">
        <v>2678.54</v>
      </c>
      <c r="G488" s="0" t="n">
        <v>-259734.36</v>
      </c>
      <c r="H488" s="0" t="n">
        <v>-0.8102</v>
      </c>
      <c r="I488" s="0" t="n">
        <v>259734.36</v>
      </c>
    </row>
    <row r="489" customFormat="false" ht="15" hidden="false" customHeight="false" outlineLevel="0" collapsed="false">
      <c r="A489" s="0" t="n">
        <v>488</v>
      </c>
      <c r="B489" s="0" t="n">
        <v>95.28</v>
      </c>
      <c r="C489" s="0" t="n">
        <v>-72.37</v>
      </c>
      <c r="D489" s="0" t="n">
        <v>-3.59</v>
      </c>
      <c r="E489" s="0" t="n">
        <v>-1283951.93</v>
      </c>
      <c r="F489" s="0" t="n">
        <v>64124.67</v>
      </c>
      <c r="G489" s="0" t="n">
        <v>-1219827.26</v>
      </c>
      <c r="H489" s="0" t="n">
        <v>-3.8049</v>
      </c>
      <c r="I489" s="0" t="n">
        <v>1219827.26</v>
      </c>
    </row>
    <row r="490" customFormat="false" ht="15" hidden="false" customHeight="false" outlineLevel="0" collapsed="false">
      <c r="A490" s="0" t="n">
        <v>489</v>
      </c>
      <c r="B490" s="0" t="n">
        <v>-82.93</v>
      </c>
      <c r="C490" s="0" t="n">
        <v>51.59</v>
      </c>
      <c r="D490" s="0" t="n">
        <v>-16.27</v>
      </c>
      <c r="E490" s="0" t="n">
        <v>1117475.46</v>
      </c>
      <c r="F490" s="0" t="n">
        <v>48573.97</v>
      </c>
      <c r="G490" s="0" t="n">
        <v>1166049.43</v>
      </c>
      <c r="H490" s="0" t="n">
        <v>3.6372</v>
      </c>
      <c r="I490" s="0" t="n">
        <v>1166049.43</v>
      </c>
    </row>
    <row r="491" customFormat="false" ht="15" hidden="false" customHeight="false" outlineLevel="0" collapsed="false">
      <c r="A491" s="0" t="n">
        <v>490</v>
      </c>
      <c r="B491" s="0" t="n">
        <v>-14.34</v>
      </c>
      <c r="C491" s="0" t="n">
        <v>-66.75</v>
      </c>
      <c r="D491" s="0" t="n">
        <v>7.76</v>
      </c>
      <c r="E491" s="0" t="n">
        <v>193267.58</v>
      </c>
      <c r="F491" s="0" t="n">
        <v>1452.93</v>
      </c>
      <c r="G491" s="0" t="n">
        <v>194720.51</v>
      </c>
      <c r="H491" s="0" t="n">
        <v>0.6074</v>
      </c>
      <c r="I491" s="0" t="n">
        <v>194720.51</v>
      </c>
    </row>
    <row r="492" customFormat="false" ht="15" hidden="false" customHeight="false" outlineLevel="0" collapsed="false">
      <c r="A492" s="0" t="n">
        <v>491</v>
      </c>
      <c r="B492" s="0" t="n">
        <v>-67.66</v>
      </c>
      <c r="C492" s="0" t="n">
        <v>128.19</v>
      </c>
      <c r="D492" s="0" t="n">
        <v>-43.66</v>
      </c>
      <c r="E492" s="0" t="n">
        <v>911707.81</v>
      </c>
      <c r="F492" s="0" t="n">
        <v>32332.48</v>
      </c>
      <c r="G492" s="0" t="n">
        <v>944040.28</v>
      </c>
      <c r="H492" s="0" t="n">
        <v>2.9447</v>
      </c>
      <c r="I492" s="0" t="n">
        <v>944040.28</v>
      </c>
    </row>
    <row r="493" customFormat="false" ht="15" hidden="false" customHeight="false" outlineLevel="0" collapsed="false">
      <c r="A493" s="0" t="n">
        <v>492</v>
      </c>
      <c r="B493" s="0" t="n">
        <v>-16.23</v>
      </c>
      <c r="C493" s="0" t="n">
        <v>22.63</v>
      </c>
      <c r="D493" s="0" t="n">
        <v>17.42</v>
      </c>
      <c r="E493" s="0" t="n">
        <v>218737.34</v>
      </c>
      <c r="F493" s="0" t="n">
        <v>1861.12</v>
      </c>
      <c r="G493" s="0" t="n">
        <v>220598.45</v>
      </c>
      <c r="H493" s="0" t="n">
        <v>0.6881</v>
      </c>
      <c r="I493" s="0" t="n">
        <v>220598.45</v>
      </c>
    </row>
    <row r="494" customFormat="false" ht="15" hidden="false" customHeight="false" outlineLevel="0" collapsed="false">
      <c r="A494" s="0" t="n">
        <v>493</v>
      </c>
      <c r="B494" s="0" t="n">
        <v>53.92</v>
      </c>
      <c r="C494" s="0" t="n">
        <v>-58.07</v>
      </c>
      <c r="D494" s="0" t="n">
        <v>25.93</v>
      </c>
      <c r="E494" s="0" t="n">
        <v>-726604.28</v>
      </c>
      <c r="F494" s="0" t="n">
        <v>20536.36</v>
      </c>
      <c r="G494" s="0" t="n">
        <v>-706067.91</v>
      </c>
      <c r="H494" s="0" t="n">
        <v>-2.2024</v>
      </c>
      <c r="I494" s="0" t="n">
        <v>706067.91</v>
      </c>
    </row>
    <row r="495" customFormat="false" ht="15" hidden="false" customHeight="false" outlineLevel="0" collapsed="false">
      <c r="A495" s="0" t="n">
        <v>494</v>
      </c>
      <c r="B495" s="0" t="n">
        <v>30.88</v>
      </c>
      <c r="C495" s="0" t="n">
        <v>70.75</v>
      </c>
      <c r="D495" s="0" t="n">
        <v>-6.31</v>
      </c>
      <c r="E495" s="0" t="n">
        <v>-416122.64</v>
      </c>
      <c r="F495" s="0" t="n">
        <v>6735.51</v>
      </c>
      <c r="G495" s="0" t="n">
        <v>-409387.13</v>
      </c>
      <c r="H495" s="0" t="n">
        <v>-1.277</v>
      </c>
      <c r="I495" s="0" t="n">
        <v>409387.13</v>
      </c>
    </row>
    <row r="496" customFormat="false" ht="15" hidden="false" customHeight="false" outlineLevel="0" collapsed="false">
      <c r="A496" s="0" t="n">
        <v>495</v>
      </c>
      <c r="B496" s="0" t="n">
        <v>11.35</v>
      </c>
      <c r="C496" s="0" t="n">
        <v>17.95</v>
      </c>
      <c r="D496" s="0" t="n">
        <v>12.68</v>
      </c>
      <c r="E496" s="0" t="n">
        <v>-152923.87</v>
      </c>
      <c r="F496" s="0" t="n">
        <v>909.66</v>
      </c>
      <c r="G496" s="0" t="n">
        <v>-152014.21</v>
      </c>
      <c r="H496" s="0" t="n">
        <v>-0.4742</v>
      </c>
      <c r="I496" s="0" t="n">
        <v>152014.21</v>
      </c>
    </row>
    <row r="497" customFormat="false" ht="15" hidden="false" customHeight="false" outlineLevel="0" collapsed="false">
      <c r="A497" s="0" t="n">
        <v>496</v>
      </c>
      <c r="B497" s="0" t="n">
        <v>105.49</v>
      </c>
      <c r="C497" s="0" t="n">
        <v>-20.06</v>
      </c>
      <c r="D497" s="0" t="n">
        <v>-31.45</v>
      </c>
      <c r="E497" s="0" t="n">
        <v>-1421507.92</v>
      </c>
      <c r="F497" s="0" t="n">
        <v>78600.66</v>
      </c>
      <c r="G497" s="0" t="n">
        <v>-1342907.25</v>
      </c>
      <c r="H497" s="0" t="n">
        <v>-4.1888</v>
      </c>
      <c r="I497" s="0" t="n">
        <v>1342907.25</v>
      </c>
    </row>
    <row r="498" customFormat="false" ht="15" hidden="false" customHeight="false" outlineLevel="0" collapsed="false">
      <c r="A498" s="0" t="n">
        <v>497</v>
      </c>
      <c r="B498" s="0" t="n">
        <v>-69.2</v>
      </c>
      <c r="C498" s="0" t="n">
        <v>-91.41</v>
      </c>
      <c r="D498" s="0" t="n">
        <v>-24.83</v>
      </c>
      <c r="E498" s="0" t="n">
        <v>932411.97</v>
      </c>
      <c r="F498" s="0" t="n">
        <v>33817.64</v>
      </c>
      <c r="G498" s="0" t="n">
        <v>966229.62</v>
      </c>
      <c r="H498" s="0" t="n">
        <v>3.0139</v>
      </c>
      <c r="I498" s="0" t="n">
        <v>966229.62</v>
      </c>
    </row>
    <row r="499" customFormat="false" ht="15" hidden="false" customHeight="false" outlineLevel="0" collapsed="false">
      <c r="A499" s="0" t="n">
        <v>498</v>
      </c>
      <c r="B499" s="0" t="n">
        <v>-36.49</v>
      </c>
      <c r="C499" s="0" t="n">
        <v>-13.69</v>
      </c>
      <c r="D499" s="0" t="n">
        <v>25.49</v>
      </c>
      <c r="E499" s="0" t="n">
        <v>491686.65</v>
      </c>
      <c r="F499" s="0" t="n">
        <v>9403.82</v>
      </c>
      <c r="G499" s="0" t="n">
        <v>501090.47</v>
      </c>
      <c r="H499" s="0" t="n">
        <v>1.563</v>
      </c>
      <c r="I499" s="0" t="n">
        <v>501090.47</v>
      </c>
    </row>
    <row r="500" customFormat="false" ht="15" hidden="false" customHeight="false" outlineLevel="0" collapsed="false">
      <c r="A500" s="0" t="n">
        <v>499</v>
      </c>
      <c r="B500" s="0" t="n">
        <v>161.6</v>
      </c>
      <c r="C500" s="0" t="n">
        <v>62.55</v>
      </c>
      <c r="D500" s="0" t="n">
        <v>29.71</v>
      </c>
      <c r="E500" s="0" t="n">
        <v>-2177586.93</v>
      </c>
      <c r="F500" s="0" t="n">
        <v>184449.99</v>
      </c>
      <c r="G500" s="0" t="n">
        <v>-1993136.94</v>
      </c>
      <c r="H500" s="0" t="n">
        <v>-6.217</v>
      </c>
      <c r="I500" s="0" t="n">
        <v>1993136.94</v>
      </c>
    </row>
    <row r="501" customFormat="false" ht="15" hidden="false" customHeight="false" outlineLevel="0" collapsed="false">
      <c r="A501" s="0" t="n">
        <v>500</v>
      </c>
      <c r="B501" s="0" t="n">
        <v>-62.38</v>
      </c>
      <c r="C501" s="0" t="n">
        <v>62.52</v>
      </c>
      <c r="D501" s="0" t="n">
        <v>-20.64</v>
      </c>
      <c r="E501" s="0" t="n">
        <v>840585.06</v>
      </c>
      <c r="F501" s="0" t="n">
        <v>27484.7</v>
      </c>
      <c r="G501" s="0" t="n">
        <v>868069.76</v>
      </c>
      <c r="H501" s="0" t="n">
        <v>2.7077</v>
      </c>
      <c r="I501" s="0" t="n">
        <v>868069.76</v>
      </c>
    </row>
    <row r="502" customFormat="false" ht="15" hidden="false" customHeight="false" outlineLevel="0" collapsed="false">
      <c r="A502" s="0" t="n">
        <v>501</v>
      </c>
      <c r="B502" s="0" t="n">
        <v>-39.15</v>
      </c>
      <c r="C502" s="0" t="n">
        <v>-52.52</v>
      </c>
      <c r="D502" s="0" t="n">
        <v>7.88</v>
      </c>
      <c r="E502" s="0" t="n">
        <v>527554.99</v>
      </c>
      <c r="F502" s="0" t="n">
        <v>10825.88</v>
      </c>
      <c r="G502" s="0" t="n">
        <v>538380.86</v>
      </c>
      <c r="H502" s="0" t="n">
        <v>1.6793</v>
      </c>
      <c r="I502" s="0" t="n">
        <v>538380.86</v>
      </c>
    </row>
    <row r="503" customFormat="false" ht="15" hidden="false" customHeight="false" outlineLevel="0" collapsed="false">
      <c r="A503" s="0" t="n">
        <v>502</v>
      </c>
      <c r="B503" s="0" t="n">
        <v>111.43</v>
      </c>
      <c r="C503" s="0" t="n">
        <v>10.56</v>
      </c>
      <c r="D503" s="0" t="n">
        <v>-54.72</v>
      </c>
      <c r="E503" s="0" t="n">
        <v>-1501514.31</v>
      </c>
      <c r="F503" s="0" t="n">
        <v>87697.37</v>
      </c>
      <c r="G503" s="0" t="n">
        <v>-1413816.93</v>
      </c>
      <c r="H503" s="0" t="n">
        <v>-4.41</v>
      </c>
      <c r="I503" s="0" t="n">
        <v>1413816.93</v>
      </c>
    </row>
    <row r="504" customFormat="false" ht="15" hidden="false" customHeight="false" outlineLevel="0" collapsed="false">
      <c r="A504" s="0" t="n">
        <v>503</v>
      </c>
      <c r="B504" s="0" t="n">
        <v>34.19</v>
      </c>
      <c r="C504" s="0" t="n">
        <v>-45.44</v>
      </c>
      <c r="D504" s="0" t="n">
        <v>-45.46</v>
      </c>
      <c r="E504" s="0" t="n">
        <v>-460755</v>
      </c>
      <c r="F504" s="0" t="n">
        <v>8257.86</v>
      </c>
      <c r="G504" s="0" t="n">
        <v>-452497.14</v>
      </c>
      <c r="H504" s="0" t="n">
        <v>-1.4114</v>
      </c>
      <c r="I504" s="0" t="n">
        <v>452497.14</v>
      </c>
    </row>
    <row r="505" customFormat="false" ht="15" hidden="false" customHeight="false" outlineLevel="0" collapsed="false">
      <c r="A505" s="0" t="n">
        <v>504</v>
      </c>
      <c r="B505" s="0" t="n">
        <v>109.64</v>
      </c>
      <c r="C505" s="0" t="n">
        <v>7.04</v>
      </c>
      <c r="D505" s="0" t="n">
        <v>0.18</v>
      </c>
      <c r="E505" s="0" t="n">
        <v>-1477415.71</v>
      </c>
      <c r="F505" s="0" t="n">
        <v>84904.96</v>
      </c>
      <c r="G505" s="0" t="n">
        <v>-1392510.75</v>
      </c>
      <c r="H505" s="0" t="n">
        <v>-4.3435</v>
      </c>
      <c r="I505" s="0" t="n">
        <v>1392510.75</v>
      </c>
    </row>
    <row r="506" customFormat="false" ht="15" hidden="false" customHeight="false" outlineLevel="0" collapsed="false">
      <c r="A506" s="0" t="n">
        <v>505</v>
      </c>
      <c r="B506" s="0" t="n">
        <v>-79.77</v>
      </c>
      <c r="C506" s="0" t="n">
        <v>49.54</v>
      </c>
      <c r="D506" s="0" t="n">
        <v>20.23</v>
      </c>
      <c r="E506" s="0" t="n">
        <v>1074919.6</v>
      </c>
      <c r="F506" s="0" t="n">
        <v>44944.81</v>
      </c>
      <c r="G506" s="0" t="n">
        <v>1119864.41</v>
      </c>
      <c r="H506" s="0" t="n">
        <v>3.4931</v>
      </c>
      <c r="I506" s="0" t="n">
        <v>1119864.41</v>
      </c>
    </row>
    <row r="507" customFormat="false" ht="15" hidden="false" customHeight="false" outlineLevel="0" collapsed="false">
      <c r="A507" s="0" t="n">
        <v>506</v>
      </c>
      <c r="B507" s="0" t="n">
        <v>84.05</v>
      </c>
      <c r="C507" s="0" t="n">
        <v>-74.91</v>
      </c>
      <c r="D507" s="0" t="n">
        <v>-48.67</v>
      </c>
      <c r="E507" s="0" t="n">
        <v>-1132612.11</v>
      </c>
      <c r="F507" s="0" t="n">
        <v>49898.79</v>
      </c>
      <c r="G507" s="0" t="n">
        <v>-1082713.32</v>
      </c>
      <c r="H507" s="0" t="n">
        <v>-3.3772</v>
      </c>
      <c r="I507" s="0" t="n">
        <v>1082713.32</v>
      </c>
    </row>
    <row r="508" customFormat="false" ht="15" hidden="false" customHeight="false" outlineLevel="0" collapsed="false">
      <c r="A508" s="0" t="n">
        <v>507</v>
      </c>
      <c r="B508" s="0" t="n">
        <v>-173.31</v>
      </c>
      <c r="C508" s="0" t="n">
        <v>104.87</v>
      </c>
      <c r="D508" s="0" t="n">
        <v>7.71</v>
      </c>
      <c r="E508" s="0" t="n">
        <v>2335340.28</v>
      </c>
      <c r="F508" s="0" t="n">
        <v>212142.64</v>
      </c>
      <c r="G508" s="0" t="n">
        <v>2547482.93</v>
      </c>
      <c r="H508" s="0" t="n">
        <v>7.9461</v>
      </c>
      <c r="I508" s="0" t="n">
        <v>2547482.93</v>
      </c>
    </row>
    <row r="509" customFormat="false" ht="15" hidden="false" customHeight="false" outlineLevel="0" collapsed="false">
      <c r="A509" s="0" t="n">
        <v>508</v>
      </c>
      <c r="B509" s="0" t="n">
        <v>77.62</v>
      </c>
      <c r="C509" s="0" t="n">
        <v>7.56</v>
      </c>
      <c r="D509" s="0" t="n">
        <v>22.94</v>
      </c>
      <c r="E509" s="0" t="n">
        <v>-1045869.58</v>
      </c>
      <c r="F509" s="0" t="n">
        <v>42548.35</v>
      </c>
      <c r="G509" s="0" t="n">
        <v>-1003321.23</v>
      </c>
      <c r="H509" s="0" t="n">
        <v>-3.1296</v>
      </c>
      <c r="I509" s="0" t="n">
        <v>1003321.23</v>
      </c>
    </row>
    <row r="510" customFormat="false" ht="15" hidden="false" customHeight="false" outlineLevel="0" collapsed="false">
      <c r="A510" s="0" t="n">
        <v>509</v>
      </c>
      <c r="B510" s="0" t="n">
        <v>88.83</v>
      </c>
      <c r="C510" s="0" t="n">
        <v>86.21</v>
      </c>
      <c r="D510" s="0" t="n">
        <v>0.5</v>
      </c>
      <c r="E510" s="0" t="n">
        <v>-1196941.48</v>
      </c>
      <c r="F510" s="0" t="n">
        <v>55728</v>
      </c>
      <c r="G510" s="0" t="n">
        <v>-1141213.48</v>
      </c>
      <c r="H510" s="0" t="n">
        <v>-3.5597</v>
      </c>
      <c r="I510" s="0" t="n">
        <v>1141213.48</v>
      </c>
    </row>
    <row r="511" customFormat="false" ht="15" hidden="false" customHeight="false" outlineLevel="0" collapsed="false">
      <c r="A511" s="0" t="n">
        <v>510</v>
      </c>
      <c r="B511" s="0" t="n">
        <v>66.03</v>
      </c>
      <c r="C511" s="0" t="n">
        <v>17.45</v>
      </c>
      <c r="D511" s="0" t="n">
        <v>20.9</v>
      </c>
      <c r="E511" s="0" t="n">
        <v>-889756.38</v>
      </c>
      <c r="F511" s="0" t="n">
        <v>30794.27</v>
      </c>
      <c r="G511" s="0" t="n">
        <v>-858962.11</v>
      </c>
      <c r="H511" s="0" t="n">
        <v>-2.6793</v>
      </c>
      <c r="I511" s="0" t="n">
        <v>858962.11</v>
      </c>
    </row>
    <row r="512" customFormat="false" ht="15" hidden="false" customHeight="false" outlineLevel="0" collapsed="false">
      <c r="A512" s="0" t="n">
        <v>511</v>
      </c>
      <c r="B512" s="0" t="n">
        <v>151.83</v>
      </c>
      <c r="C512" s="0" t="n">
        <v>56.03</v>
      </c>
      <c r="D512" s="0" t="n">
        <v>28.47</v>
      </c>
      <c r="E512" s="0" t="n">
        <v>-2045938.62</v>
      </c>
      <c r="F512" s="0" t="n">
        <v>162821.9</v>
      </c>
      <c r="G512" s="0" t="n">
        <v>-1883116.71</v>
      </c>
      <c r="H512" s="0" t="n">
        <v>-5.8738</v>
      </c>
      <c r="I512" s="0" t="n">
        <v>1883116.71</v>
      </c>
    </row>
    <row r="513" customFormat="false" ht="15" hidden="false" customHeight="false" outlineLevel="0" collapsed="false">
      <c r="A513" s="0" t="n">
        <v>512</v>
      </c>
      <c r="B513" s="0" t="n">
        <v>110.76</v>
      </c>
      <c r="C513" s="0" t="n">
        <v>34.09</v>
      </c>
      <c r="D513" s="0" t="n">
        <v>-18.03</v>
      </c>
      <c r="E513" s="0" t="n">
        <v>-1492539.62</v>
      </c>
      <c r="F513" s="0" t="n">
        <v>86652.16</v>
      </c>
      <c r="G513" s="0" t="n">
        <v>-1405887.47</v>
      </c>
      <c r="H513" s="0" t="n">
        <v>-4.3853</v>
      </c>
      <c r="I513" s="0" t="n">
        <v>1405887.47</v>
      </c>
    </row>
    <row r="514" customFormat="false" ht="15" hidden="false" customHeight="false" outlineLevel="0" collapsed="false">
      <c r="A514" s="0" t="n">
        <v>513</v>
      </c>
      <c r="B514" s="0" t="n">
        <v>27.29</v>
      </c>
      <c r="C514" s="0" t="n">
        <v>53.48</v>
      </c>
      <c r="D514" s="0" t="n">
        <v>-19.77</v>
      </c>
      <c r="E514" s="0" t="n">
        <v>-367741.83</v>
      </c>
      <c r="F514" s="0" t="n">
        <v>5260.34</v>
      </c>
      <c r="G514" s="0" t="n">
        <v>-362481.49</v>
      </c>
      <c r="H514" s="0" t="n">
        <v>-1.1307</v>
      </c>
      <c r="I514" s="0" t="n">
        <v>362481.49</v>
      </c>
    </row>
    <row r="515" customFormat="false" ht="15" hidden="false" customHeight="false" outlineLevel="0" collapsed="false">
      <c r="A515" s="0" t="n">
        <v>514</v>
      </c>
      <c r="B515" s="0" t="n">
        <v>70.51</v>
      </c>
      <c r="C515" s="0" t="n">
        <v>29.01</v>
      </c>
      <c r="D515" s="0" t="n">
        <v>32.32</v>
      </c>
      <c r="E515" s="0" t="n">
        <v>-950073.68</v>
      </c>
      <c r="F515" s="0" t="n">
        <v>35110.92</v>
      </c>
      <c r="G515" s="0" t="n">
        <v>-914962.76</v>
      </c>
      <c r="H515" s="0" t="n">
        <v>-2.854</v>
      </c>
      <c r="I515" s="0" t="n">
        <v>914962.76</v>
      </c>
    </row>
    <row r="516" customFormat="false" ht="15" hidden="false" customHeight="false" outlineLevel="0" collapsed="false">
      <c r="A516" s="0" t="n">
        <v>515</v>
      </c>
      <c r="B516" s="0" t="n">
        <v>42.36</v>
      </c>
      <c r="C516" s="0" t="n">
        <v>-66.57</v>
      </c>
      <c r="D516" s="0" t="n">
        <v>-43.23</v>
      </c>
      <c r="E516" s="0" t="n">
        <v>-570778.77</v>
      </c>
      <c r="F516" s="0" t="n">
        <v>12672.53</v>
      </c>
      <c r="G516" s="0" t="n">
        <v>-558106.25</v>
      </c>
      <c r="H516" s="0" t="n">
        <v>-1.7409</v>
      </c>
      <c r="I516" s="0" t="n">
        <v>558106.25</v>
      </c>
    </row>
    <row r="517" customFormat="false" ht="15" hidden="false" customHeight="false" outlineLevel="0" collapsed="false">
      <c r="A517" s="0" t="n">
        <v>516</v>
      </c>
      <c r="B517" s="0" t="n">
        <v>63.73</v>
      </c>
      <c r="C517" s="0" t="n">
        <v>76.13</v>
      </c>
      <c r="D517" s="0" t="n">
        <v>42.09</v>
      </c>
      <c r="E517" s="0" t="n">
        <v>-858812.91</v>
      </c>
      <c r="F517" s="0" t="n">
        <v>28689.62</v>
      </c>
      <c r="G517" s="0" t="n">
        <v>-830123.29</v>
      </c>
      <c r="H517" s="0" t="n">
        <v>-2.5893</v>
      </c>
      <c r="I517" s="0" t="n">
        <v>830123.29</v>
      </c>
    </row>
    <row r="518" customFormat="false" ht="15" hidden="false" customHeight="false" outlineLevel="0" collapsed="false">
      <c r="A518" s="0" t="n">
        <v>517</v>
      </c>
      <c r="B518" s="0" t="n">
        <v>44.16</v>
      </c>
      <c r="C518" s="0" t="n">
        <v>23.75</v>
      </c>
      <c r="D518" s="0" t="n">
        <v>-45.23</v>
      </c>
      <c r="E518" s="0" t="n">
        <v>-595007.03</v>
      </c>
      <c r="F518" s="0" t="n">
        <v>13771.2</v>
      </c>
      <c r="G518" s="0" t="n">
        <v>-581235.83</v>
      </c>
      <c r="H518" s="0" t="n">
        <v>-1.813</v>
      </c>
      <c r="I518" s="0" t="n">
        <v>581235.83</v>
      </c>
    </row>
    <row r="519" customFormat="false" ht="15" hidden="false" customHeight="false" outlineLevel="0" collapsed="false">
      <c r="A519" s="0" t="n">
        <v>518</v>
      </c>
      <c r="B519" s="0" t="n">
        <v>-31.27</v>
      </c>
      <c r="C519" s="0" t="n">
        <v>-21.94</v>
      </c>
      <c r="D519" s="0" t="n">
        <v>28.93</v>
      </c>
      <c r="E519" s="0" t="n">
        <v>421427.38</v>
      </c>
      <c r="F519" s="0" t="n">
        <v>6908.33</v>
      </c>
      <c r="G519" s="0" t="n">
        <v>428335.71</v>
      </c>
      <c r="H519" s="0" t="n">
        <v>1.3361</v>
      </c>
      <c r="I519" s="0" t="n">
        <v>428335.71</v>
      </c>
    </row>
    <row r="520" customFormat="false" ht="15" hidden="false" customHeight="false" outlineLevel="0" collapsed="false">
      <c r="A520" s="0" t="n">
        <v>519</v>
      </c>
      <c r="B520" s="0" t="n">
        <v>-147.79</v>
      </c>
      <c r="C520" s="0" t="n">
        <v>-85.04</v>
      </c>
      <c r="D520" s="0" t="n">
        <v>3.28</v>
      </c>
      <c r="E520" s="0" t="n">
        <v>1991463.48</v>
      </c>
      <c r="F520" s="0" t="n">
        <v>154266.75</v>
      </c>
      <c r="G520" s="0" t="n">
        <v>2145730.23</v>
      </c>
      <c r="H520" s="0" t="n">
        <v>6.693</v>
      </c>
      <c r="I520" s="0" t="n">
        <v>2145730.23</v>
      </c>
    </row>
    <row r="521" customFormat="false" ht="15" hidden="false" customHeight="false" outlineLevel="0" collapsed="false">
      <c r="A521" s="0" t="n">
        <v>520</v>
      </c>
      <c r="B521" s="0" t="n">
        <v>-132.6</v>
      </c>
      <c r="C521" s="0" t="n">
        <v>25.46</v>
      </c>
      <c r="D521" s="0" t="n">
        <v>-19.84</v>
      </c>
      <c r="E521" s="0" t="n">
        <v>1786772.06</v>
      </c>
      <c r="F521" s="0" t="n">
        <v>124184.08</v>
      </c>
      <c r="G521" s="0" t="n">
        <v>1910956.15</v>
      </c>
      <c r="H521" s="0" t="n">
        <v>5.9607</v>
      </c>
      <c r="I521" s="0" t="n">
        <v>1910956.15</v>
      </c>
    </row>
    <row r="522" customFormat="false" ht="15" hidden="false" customHeight="false" outlineLevel="0" collapsed="false">
      <c r="A522" s="0" t="n">
        <v>521</v>
      </c>
      <c r="B522" s="0" t="n">
        <v>44.84</v>
      </c>
      <c r="C522" s="0" t="n">
        <v>30.28</v>
      </c>
      <c r="D522" s="0" t="n">
        <v>-16.71</v>
      </c>
      <c r="E522" s="0" t="n">
        <v>-604212.3</v>
      </c>
      <c r="F522" s="0" t="n">
        <v>14200.6</v>
      </c>
      <c r="G522" s="0" t="n">
        <v>-590011.7</v>
      </c>
      <c r="H522" s="0" t="n">
        <v>-1.8404</v>
      </c>
      <c r="I522" s="0" t="n">
        <v>590011.7</v>
      </c>
    </row>
    <row r="523" customFormat="false" ht="15" hidden="false" customHeight="false" outlineLevel="0" collapsed="false">
      <c r="A523" s="0" t="n">
        <v>522</v>
      </c>
      <c r="B523" s="0" t="n">
        <v>-58.91</v>
      </c>
      <c r="C523" s="0" t="n">
        <v>41.74</v>
      </c>
      <c r="D523" s="0" t="n">
        <v>25.51</v>
      </c>
      <c r="E523" s="0" t="n">
        <v>793776.8</v>
      </c>
      <c r="F523" s="0" t="n">
        <v>24508.93</v>
      </c>
      <c r="G523" s="0" t="n">
        <v>818285.74</v>
      </c>
      <c r="H523" s="0" t="n">
        <v>2.5524</v>
      </c>
      <c r="I523" s="0" t="n">
        <v>818285.74</v>
      </c>
    </row>
    <row r="524" customFormat="false" ht="15" hidden="false" customHeight="false" outlineLevel="0" collapsed="false">
      <c r="A524" s="0" t="n">
        <v>523</v>
      </c>
      <c r="B524" s="0" t="n">
        <v>-100.08</v>
      </c>
      <c r="C524" s="0" t="n">
        <v>-29.2</v>
      </c>
      <c r="D524" s="0" t="n">
        <v>-7.47</v>
      </c>
      <c r="E524" s="0" t="n">
        <v>1348549.98</v>
      </c>
      <c r="F524" s="0" t="n">
        <v>70739.46</v>
      </c>
      <c r="G524" s="0" t="n">
        <v>1419289.44</v>
      </c>
      <c r="H524" s="0" t="n">
        <v>4.4271</v>
      </c>
      <c r="I524" s="0" t="n">
        <v>1419289.44</v>
      </c>
    </row>
    <row r="525" customFormat="false" ht="15" hidden="false" customHeight="false" outlineLevel="0" collapsed="false">
      <c r="A525" s="0" t="n">
        <v>524</v>
      </c>
      <c r="B525" s="0" t="n">
        <v>-173.47</v>
      </c>
      <c r="C525" s="0" t="n">
        <v>17.6</v>
      </c>
      <c r="D525" s="0" t="n">
        <v>-40.08</v>
      </c>
      <c r="E525" s="0" t="n">
        <v>2337454.29</v>
      </c>
      <c r="F525" s="0" t="n">
        <v>212526.89</v>
      </c>
      <c r="G525" s="0" t="n">
        <v>2549981.18</v>
      </c>
      <c r="H525" s="0" t="n">
        <v>7.9539</v>
      </c>
      <c r="I525" s="0" t="n">
        <v>2549981.18</v>
      </c>
    </row>
    <row r="526" customFormat="false" ht="15" hidden="false" customHeight="false" outlineLevel="0" collapsed="false">
      <c r="A526" s="0" t="n">
        <v>525</v>
      </c>
      <c r="B526" s="0" t="n">
        <v>49.14</v>
      </c>
      <c r="C526" s="0" t="n">
        <v>43.04</v>
      </c>
      <c r="D526" s="0" t="n">
        <v>36.99</v>
      </c>
      <c r="E526" s="0" t="n">
        <v>-662220.15</v>
      </c>
      <c r="F526" s="0" t="n">
        <v>17058.17</v>
      </c>
      <c r="G526" s="0" t="n">
        <v>-645161.98</v>
      </c>
      <c r="H526" s="0" t="n">
        <v>-2.0124</v>
      </c>
      <c r="I526" s="0" t="n">
        <v>645161.98</v>
      </c>
    </row>
    <row r="527" customFormat="false" ht="15" hidden="false" customHeight="false" outlineLevel="0" collapsed="false">
      <c r="A527" s="0" t="n">
        <v>526</v>
      </c>
      <c r="B527" s="0" t="n">
        <v>-112.31</v>
      </c>
      <c r="C527" s="0" t="n">
        <v>-42.57</v>
      </c>
      <c r="D527" s="0" t="n">
        <v>25.78</v>
      </c>
      <c r="E527" s="0" t="n">
        <v>1513349.89</v>
      </c>
      <c r="F527" s="0" t="n">
        <v>89085.36</v>
      </c>
      <c r="G527" s="0" t="n">
        <v>1602435.25</v>
      </c>
      <c r="H527" s="0" t="n">
        <v>4.9983</v>
      </c>
      <c r="I527" s="0" t="n">
        <v>1602435.25</v>
      </c>
    </row>
    <row r="528" customFormat="false" ht="15" hidden="false" customHeight="false" outlineLevel="0" collapsed="false">
      <c r="A528" s="0" t="n">
        <v>527</v>
      </c>
      <c r="B528" s="0" t="n">
        <v>68.12</v>
      </c>
      <c r="C528" s="0" t="n">
        <v>71.22</v>
      </c>
      <c r="D528" s="0" t="n">
        <v>-34.03</v>
      </c>
      <c r="E528" s="0" t="n">
        <v>-917976.18</v>
      </c>
      <c r="F528" s="0" t="n">
        <v>32778.6</v>
      </c>
      <c r="G528" s="0" t="n">
        <v>-885197.57</v>
      </c>
      <c r="H528" s="0" t="n">
        <v>-2.7611</v>
      </c>
      <c r="I528" s="0" t="n">
        <v>885197.57</v>
      </c>
    </row>
    <row r="529" customFormat="false" ht="15" hidden="false" customHeight="false" outlineLevel="0" collapsed="false">
      <c r="A529" s="0" t="n">
        <v>528</v>
      </c>
      <c r="B529" s="0" t="n">
        <v>-18.32</v>
      </c>
      <c r="C529" s="0" t="n">
        <v>54.48</v>
      </c>
      <c r="D529" s="0" t="n">
        <v>-9.33</v>
      </c>
      <c r="E529" s="0" t="n">
        <v>246807.48</v>
      </c>
      <c r="F529" s="0" t="n">
        <v>2369.43</v>
      </c>
      <c r="G529" s="0" t="n">
        <v>249176.91</v>
      </c>
      <c r="H529" s="0" t="n">
        <v>0.7772</v>
      </c>
      <c r="I529" s="0" t="n">
        <v>249176.91</v>
      </c>
    </row>
    <row r="530" customFormat="false" ht="15" hidden="false" customHeight="false" outlineLevel="0" collapsed="false">
      <c r="A530" s="0" t="n">
        <v>529</v>
      </c>
      <c r="B530" s="0" t="n">
        <v>-124.43</v>
      </c>
      <c r="C530" s="0" t="n">
        <v>-34.81</v>
      </c>
      <c r="D530" s="0" t="n">
        <v>10.97</v>
      </c>
      <c r="E530" s="0" t="n">
        <v>1676623.89</v>
      </c>
      <c r="F530" s="0" t="n">
        <v>109345</v>
      </c>
      <c r="G530" s="0" t="n">
        <v>1785968.89</v>
      </c>
      <c r="H530" s="0" t="n">
        <v>5.5708</v>
      </c>
      <c r="I530" s="0" t="n">
        <v>1785968.89</v>
      </c>
    </row>
    <row r="531" customFormat="false" ht="15" hidden="false" customHeight="false" outlineLevel="0" collapsed="false">
      <c r="A531" s="0" t="n">
        <v>530</v>
      </c>
      <c r="B531" s="0" t="n">
        <v>-140.16</v>
      </c>
      <c r="C531" s="0" t="n">
        <v>28.2</v>
      </c>
      <c r="D531" s="0" t="n">
        <v>61.39</v>
      </c>
      <c r="E531" s="0" t="n">
        <v>1888604.29</v>
      </c>
      <c r="F531" s="0" t="n">
        <v>138742.52</v>
      </c>
      <c r="G531" s="0" t="n">
        <v>2027346.8</v>
      </c>
      <c r="H531" s="0" t="n">
        <v>6.3237</v>
      </c>
      <c r="I531" s="0" t="n">
        <v>2027346.8</v>
      </c>
    </row>
    <row r="532" customFormat="false" ht="15" hidden="false" customHeight="false" outlineLevel="0" collapsed="false">
      <c r="A532" s="0" t="n">
        <v>531</v>
      </c>
      <c r="B532" s="0" t="n">
        <v>-69.8</v>
      </c>
      <c r="C532" s="0" t="n">
        <v>10.84</v>
      </c>
      <c r="D532" s="0" t="n">
        <v>6.19</v>
      </c>
      <c r="E532" s="0" t="n">
        <v>940522.32</v>
      </c>
      <c r="F532" s="0" t="n">
        <v>34408.51</v>
      </c>
      <c r="G532" s="0" t="n">
        <v>974930.83</v>
      </c>
      <c r="H532" s="0" t="n">
        <v>3.041</v>
      </c>
      <c r="I532" s="0" t="n">
        <v>974930.83</v>
      </c>
    </row>
    <row r="533" customFormat="false" ht="15" hidden="false" customHeight="false" outlineLevel="0" collapsed="false">
      <c r="A533" s="0" t="n">
        <v>532</v>
      </c>
      <c r="B533" s="0" t="n">
        <v>103.17</v>
      </c>
      <c r="C533" s="0" t="n">
        <v>-20.95</v>
      </c>
      <c r="D533" s="0" t="n">
        <v>12.24</v>
      </c>
      <c r="E533" s="0" t="n">
        <v>-1390147.36</v>
      </c>
      <c r="F533" s="0" t="n">
        <v>75170.82</v>
      </c>
      <c r="G533" s="0" t="n">
        <v>-1314976.54</v>
      </c>
      <c r="H533" s="0" t="n">
        <v>-4.1017</v>
      </c>
      <c r="I533" s="0" t="n">
        <v>1314976.54</v>
      </c>
    </row>
    <row r="534" customFormat="false" ht="15" hidden="false" customHeight="false" outlineLevel="0" collapsed="false">
      <c r="A534" s="0" t="n">
        <v>533</v>
      </c>
      <c r="B534" s="0" t="n">
        <v>42.05</v>
      </c>
      <c r="C534" s="0" t="n">
        <v>-32.04</v>
      </c>
      <c r="D534" s="0" t="n">
        <v>43.14</v>
      </c>
      <c r="E534" s="0" t="n">
        <v>-566669.4</v>
      </c>
      <c r="F534" s="0" t="n">
        <v>12490.71</v>
      </c>
      <c r="G534" s="0" t="n">
        <v>-554178.68</v>
      </c>
      <c r="H534" s="0" t="n">
        <v>-1.7286</v>
      </c>
      <c r="I534" s="0" t="n">
        <v>554178.68</v>
      </c>
    </row>
    <row r="535" customFormat="false" ht="15" hidden="false" customHeight="false" outlineLevel="0" collapsed="false">
      <c r="A535" s="0" t="n">
        <v>534</v>
      </c>
      <c r="B535" s="0" t="n">
        <v>84.74</v>
      </c>
      <c r="C535" s="0" t="n">
        <v>-16.89</v>
      </c>
      <c r="D535" s="0" t="n">
        <v>34.84</v>
      </c>
      <c r="E535" s="0" t="n">
        <v>-1141896.57</v>
      </c>
      <c r="F535" s="0" t="n">
        <v>50720.22</v>
      </c>
      <c r="G535" s="0" t="n">
        <v>-1091176.35</v>
      </c>
      <c r="H535" s="0" t="n">
        <v>-3.4036</v>
      </c>
      <c r="I535" s="0" t="n">
        <v>1091176.35</v>
      </c>
    </row>
    <row r="536" customFormat="false" ht="15" hidden="false" customHeight="false" outlineLevel="0" collapsed="false">
      <c r="A536" s="0" t="n">
        <v>535</v>
      </c>
      <c r="B536" s="0" t="n">
        <v>3.6</v>
      </c>
      <c r="C536" s="0" t="n">
        <v>14.38</v>
      </c>
      <c r="D536" s="0" t="n">
        <v>-27.09</v>
      </c>
      <c r="E536" s="0" t="n">
        <v>-48523.14</v>
      </c>
      <c r="F536" s="0" t="n">
        <v>91.59</v>
      </c>
      <c r="G536" s="0" t="n">
        <v>-48431.55</v>
      </c>
      <c r="H536" s="0" t="n">
        <v>-0.1511</v>
      </c>
      <c r="I536" s="0" t="n">
        <v>48431.55</v>
      </c>
    </row>
    <row r="537" customFormat="false" ht="15" hidden="false" customHeight="false" outlineLevel="0" collapsed="false">
      <c r="A537" s="0" t="n">
        <v>536</v>
      </c>
      <c r="B537" s="0" t="n">
        <v>-6.97</v>
      </c>
      <c r="C537" s="0" t="n">
        <v>-50.74</v>
      </c>
      <c r="D537" s="0" t="n">
        <v>9.65</v>
      </c>
      <c r="E537" s="0" t="n">
        <v>93922.23</v>
      </c>
      <c r="F537" s="0" t="n">
        <v>343.13</v>
      </c>
      <c r="G537" s="0" t="n">
        <v>94265.36</v>
      </c>
      <c r="H537" s="0" t="n">
        <v>0.294</v>
      </c>
      <c r="I537" s="0" t="n">
        <v>94265.36</v>
      </c>
    </row>
    <row r="538" customFormat="false" ht="15" hidden="false" customHeight="false" outlineLevel="0" collapsed="false">
      <c r="A538" s="0" t="n">
        <v>537</v>
      </c>
      <c r="B538" s="0" t="n">
        <v>-78.97</v>
      </c>
      <c r="C538" s="0" t="n">
        <v>43.39</v>
      </c>
      <c r="D538" s="0" t="n">
        <v>-0.97</v>
      </c>
      <c r="E538" s="0" t="n">
        <v>1064077.22</v>
      </c>
      <c r="F538" s="0" t="n">
        <v>44042.7</v>
      </c>
      <c r="G538" s="0" t="n">
        <v>1108119.92</v>
      </c>
      <c r="H538" s="0" t="n">
        <v>3.4565</v>
      </c>
      <c r="I538" s="0" t="n">
        <v>1108119.92</v>
      </c>
    </row>
    <row r="539" customFormat="false" ht="15" hidden="false" customHeight="false" outlineLevel="0" collapsed="false">
      <c r="A539" s="0" t="n">
        <v>538</v>
      </c>
      <c r="B539" s="0" t="n">
        <v>22.14</v>
      </c>
      <c r="C539" s="0" t="n">
        <v>-36.68</v>
      </c>
      <c r="D539" s="0" t="n">
        <v>8.45</v>
      </c>
      <c r="E539" s="0" t="n">
        <v>-298335.01</v>
      </c>
      <c r="F539" s="0" t="n">
        <v>3462.07</v>
      </c>
      <c r="G539" s="0" t="n">
        <v>-294872.94</v>
      </c>
      <c r="H539" s="0" t="n">
        <v>-0.9198</v>
      </c>
      <c r="I539" s="0" t="n">
        <v>294872.94</v>
      </c>
    </row>
    <row r="540" customFormat="false" ht="15" hidden="false" customHeight="false" outlineLevel="0" collapsed="false">
      <c r="A540" s="0" t="n">
        <v>539</v>
      </c>
      <c r="B540" s="0" t="n">
        <v>191.27</v>
      </c>
      <c r="C540" s="0" t="n">
        <v>49.4</v>
      </c>
      <c r="D540" s="0" t="n">
        <v>-9.78</v>
      </c>
      <c r="E540" s="0" t="n">
        <v>-2577419.79</v>
      </c>
      <c r="F540" s="0" t="n">
        <v>258403.24</v>
      </c>
      <c r="G540" s="0" t="n">
        <v>-2319016.56</v>
      </c>
      <c r="H540" s="0" t="n">
        <v>-7.2335</v>
      </c>
      <c r="I540" s="0" t="n">
        <v>2319016.56</v>
      </c>
    </row>
    <row r="541" customFormat="false" ht="15" hidden="false" customHeight="false" outlineLevel="0" collapsed="false">
      <c r="A541" s="0" t="n">
        <v>540</v>
      </c>
      <c r="B541" s="0" t="n">
        <v>113.45</v>
      </c>
      <c r="C541" s="0" t="n">
        <v>-19.31</v>
      </c>
      <c r="D541" s="0" t="n">
        <v>-3.5</v>
      </c>
      <c r="E541" s="0" t="n">
        <v>-1528777.99</v>
      </c>
      <c r="F541" s="0" t="n">
        <v>90911.01</v>
      </c>
      <c r="G541" s="0" t="n">
        <v>-1437866.98</v>
      </c>
      <c r="H541" s="0" t="n">
        <v>-4.485</v>
      </c>
      <c r="I541" s="0" t="n">
        <v>1437866.98</v>
      </c>
    </row>
    <row r="542" customFormat="false" ht="15" hidden="false" customHeight="false" outlineLevel="0" collapsed="false">
      <c r="A542" s="0" t="n">
        <v>541</v>
      </c>
      <c r="B542" s="0" t="n">
        <v>-11.88</v>
      </c>
      <c r="C542" s="0" t="n">
        <v>35.45</v>
      </c>
      <c r="D542" s="0" t="n">
        <v>20.84</v>
      </c>
      <c r="E542" s="0" t="n">
        <v>160109.09</v>
      </c>
      <c r="F542" s="0" t="n">
        <v>997.15</v>
      </c>
      <c r="G542" s="0" t="n">
        <v>161106.24</v>
      </c>
      <c r="H542" s="0" t="n">
        <v>0.5025</v>
      </c>
      <c r="I542" s="0" t="n">
        <v>161106.24</v>
      </c>
    </row>
    <row r="543" customFormat="false" ht="15" hidden="false" customHeight="false" outlineLevel="0" collapsed="false">
      <c r="A543" s="0" t="n">
        <v>542</v>
      </c>
      <c r="B543" s="0" t="n">
        <v>64.09</v>
      </c>
      <c r="C543" s="0" t="n">
        <v>-43.19</v>
      </c>
      <c r="D543" s="0" t="n">
        <v>-7.71</v>
      </c>
      <c r="E543" s="0" t="n">
        <v>-863561.04</v>
      </c>
      <c r="F543" s="0" t="n">
        <v>29007.73</v>
      </c>
      <c r="G543" s="0" t="n">
        <v>-834553.31</v>
      </c>
      <c r="H543" s="0" t="n">
        <v>-2.6032</v>
      </c>
      <c r="I543" s="0" t="n">
        <v>834553.31</v>
      </c>
    </row>
    <row r="544" customFormat="false" ht="15" hidden="false" customHeight="false" outlineLevel="0" collapsed="false">
      <c r="A544" s="0" t="n">
        <v>543</v>
      </c>
      <c r="B544" s="0" t="n">
        <v>-34.39</v>
      </c>
      <c r="C544" s="0" t="n">
        <v>-33.81</v>
      </c>
      <c r="D544" s="0" t="n">
        <v>-1.54</v>
      </c>
      <c r="E544" s="0" t="n">
        <v>463440.79</v>
      </c>
      <c r="F544" s="0" t="n">
        <v>8354.42</v>
      </c>
      <c r="G544" s="0" t="n">
        <v>471795.21</v>
      </c>
      <c r="H544" s="0" t="n">
        <v>1.4716</v>
      </c>
      <c r="I544" s="0" t="n">
        <v>471795.21</v>
      </c>
    </row>
    <row r="545" customFormat="false" ht="15" hidden="false" customHeight="false" outlineLevel="0" collapsed="false">
      <c r="A545" s="0" t="n">
        <v>544</v>
      </c>
      <c r="B545" s="0" t="n">
        <v>-170.98</v>
      </c>
      <c r="C545" s="0" t="n">
        <v>18.35</v>
      </c>
      <c r="D545" s="0" t="n">
        <v>-16.11</v>
      </c>
      <c r="E545" s="0" t="n">
        <v>2304003.6</v>
      </c>
      <c r="F545" s="0" t="n">
        <v>206487.58</v>
      </c>
      <c r="G545" s="0" t="n">
        <v>2510491.18</v>
      </c>
      <c r="H545" s="0" t="n">
        <v>7.8308</v>
      </c>
      <c r="I545" s="0" t="n">
        <v>2510491.18</v>
      </c>
    </row>
    <row r="546" customFormat="false" ht="15" hidden="false" customHeight="false" outlineLevel="0" collapsed="false">
      <c r="A546" s="0" t="n">
        <v>545</v>
      </c>
      <c r="B546" s="0" t="n">
        <v>-43.24</v>
      </c>
      <c r="C546" s="0" t="n">
        <v>-16.56</v>
      </c>
      <c r="D546" s="0" t="n">
        <v>29.18</v>
      </c>
      <c r="E546" s="0" t="n">
        <v>582667.78</v>
      </c>
      <c r="F546" s="0" t="n">
        <v>13205.95</v>
      </c>
      <c r="G546" s="0" t="n">
        <v>595873.73</v>
      </c>
      <c r="H546" s="0" t="n">
        <v>1.8587</v>
      </c>
      <c r="I546" s="0" t="n">
        <v>595873.73</v>
      </c>
    </row>
    <row r="547" customFormat="false" ht="15" hidden="false" customHeight="false" outlineLevel="0" collapsed="false">
      <c r="A547" s="0" t="n">
        <v>546</v>
      </c>
      <c r="B547" s="0" t="n">
        <v>-125.41</v>
      </c>
      <c r="C547" s="0" t="n">
        <v>-37.48</v>
      </c>
      <c r="D547" s="0" t="n">
        <v>-6.25</v>
      </c>
      <c r="E547" s="0" t="n">
        <v>1689834.68</v>
      </c>
      <c r="F547" s="0" t="n">
        <v>111074.94</v>
      </c>
      <c r="G547" s="0" t="n">
        <v>1800909.62</v>
      </c>
      <c r="H547" s="0" t="n">
        <v>5.6174</v>
      </c>
      <c r="I547" s="0" t="n">
        <v>1800909.62</v>
      </c>
    </row>
    <row r="548" customFormat="false" ht="15" hidden="false" customHeight="false" outlineLevel="0" collapsed="false">
      <c r="A548" s="0" t="n">
        <v>547</v>
      </c>
      <c r="B548" s="0" t="n">
        <v>10.24</v>
      </c>
      <c r="C548" s="0" t="n">
        <v>-40.36</v>
      </c>
      <c r="D548" s="0" t="n">
        <v>-58.08</v>
      </c>
      <c r="E548" s="0" t="n">
        <v>-137946.06</v>
      </c>
      <c r="F548" s="0" t="n">
        <v>740.2</v>
      </c>
      <c r="G548" s="0" t="n">
        <v>-137205.87</v>
      </c>
      <c r="H548" s="0" t="n">
        <v>-0.428</v>
      </c>
      <c r="I548" s="0" t="n">
        <v>137205.87</v>
      </c>
    </row>
    <row r="549" customFormat="false" ht="15" hidden="false" customHeight="false" outlineLevel="0" collapsed="false">
      <c r="A549" s="0" t="n">
        <v>548</v>
      </c>
      <c r="B549" s="0" t="n">
        <v>278.7</v>
      </c>
      <c r="C549" s="0" t="n">
        <v>87.55</v>
      </c>
      <c r="D549" s="0" t="n">
        <v>-18.61</v>
      </c>
      <c r="E549" s="0" t="n">
        <v>-3755455.28</v>
      </c>
      <c r="F549" s="0" t="n">
        <v>548596.23</v>
      </c>
      <c r="G549" s="0" t="n">
        <v>-3206859.05</v>
      </c>
      <c r="H549" s="0" t="n">
        <v>-10.0029</v>
      </c>
      <c r="I549" s="0" t="n">
        <v>3206859.05</v>
      </c>
    </row>
    <row r="550" customFormat="false" ht="15" hidden="false" customHeight="false" outlineLevel="0" collapsed="false">
      <c r="A550" s="0" t="n">
        <v>549</v>
      </c>
      <c r="B550" s="0" t="n">
        <v>0.76</v>
      </c>
      <c r="C550" s="0" t="n">
        <v>-7.72</v>
      </c>
      <c r="D550" s="0" t="n">
        <v>-51.21</v>
      </c>
      <c r="E550" s="0" t="n">
        <v>-10218.39</v>
      </c>
      <c r="F550" s="0" t="n">
        <v>4.06</v>
      </c>
      <c r="G550" s="0" t="n">
        <v>-10214.33</v>
      </c>
      <c r="H550" s="0" t="n">
        <v>-0.0319</v>
      </c>
      <c r="I550" s="0" t="n">
        <v>10214.33</v>
      </c>
    </row>
    <row r="551" customFormat="false" ht="15" hidden="false" customHeight="false" outlineLevel="0" collapsed="false">
      <c r="A551" s="0" t="n">
        <v>550</v>
      </c>
      <c r="B551" s="0" t="n">
        <v>-248.12</v>
      </c>
      <c r="C551" s="0" t="n">
        <v>95.53</v>
      </c>
      <c r="D551" s="0" t="n">
        <v>-18.03</v>
      </c>
      <c r="E551" s="0" t="n">
        <v>3343411.65</v>
      </c>
      <c r="F551" s="0" t="n">
        <v>434817.82</v>
      </c>
      <c r="G551" s="0" t="n">
        <v>3778229.47</v>
      </c>
      <c r="H551" s="0" t="n">
        <v>11.7851</v>
      </c>
      <c r="I551" s="0" t="n">
        <v>3778229.47</v>
      </c>
    </row>
    <row r="552" customFormat="false" ht="15" hidden="false" customHeight="false" outlineLevel="0" collapsed="false">
      <c r="A552" s="0" t="n">
        <v>551</v>
      </c>
      <c r="B552" s="0" t="n">
        <v>22.51</v>
      </c>
      <c r="C552" s="0" t="n">
        <v>79.36</v>
      </c>
      <c r="D552" s="0" t="n">
        <v>5.46</v>
      </c>
      <c r="E552" s="0" t="n">
        <v>-303314.4</v>
      </c>
      <c r="F552" s="0" t="n">
        <v>3578.6</v>
      </c>
      <c r="G552" s="0" t="n">
        <v>-299735.79</v>
      </c>
      <c r="H552" s="0" t="n">
        <v>-0.9349</v>
      </c>
      <c r="I552" s="0" t="n">
        <v>299735.79</v>
      </c>
    </row>
    <row r="553" customFormat="false" ht="15" hidden="false" customHeight="false" outlineLevel="0" collapsed="false">
      <c r="A553" s="0" t="n">
        <v>552</v>
      </c>
      <c r="B553" s="0" t="n">
        <v>70.66</v>
      </c>
      <c r="C553" s="0" t="n">
        <v>-54.17</v>
      </c>
      <c r="D553" s="0" t="n">
        <v>-19.78</v>
      </c>
      <c r="E553" s="0" t="n">
        <v>-952150.11</v>
      </c>
      <c r="F553" s="0" t="n">
        <v>35264.56</v>
      </c>
      <c r="G553" s="0" t="n">
        <v>-916885.55</v>
      </c>
      <c r="H553" s="0" t="n">
        <v>-2.86</v>
      </c>
      <c r="I553" s="0" t="n">
        <v>916885.55</v>
      </c>
    </row>
    <row r="554" customFormat="false" ht="15" hidden="false" customHeight="false" outlineLevel="0" collapsed="false">
      <c r="A554" s="0" t="n">
        <v>553</v>
      </c>
      <c r="B554" s="0" t="n">
        <v>-180</v>
      </c>
      <c r="C554" s="0" t="n">
        <v>17.91</v>
      </c>
      <c r="D554" s="0" t="n">
        <v>-6.86</v>
      </c>
      <c r="E554" s="0" t="n">
        <v>2425495.28</v>
      </c>
      <c r="F554" s="0" t="n">
        <v>228838.19</v>
      </c>
      <c r="G554" s="0" t="n">
        <v>2654333.47</v>
      </c>
      <c r="H554" s="0" t="n">
        <v>8.2794</v>
      </c>
      <c r="I554" s="0" t="n">
        <v>2654333.47</v>
      </c>
    </row>
    <row r="555" customFormat="false" ht="15" hidden="false" customHeight="false" outlineLevel="0" collapsed="false">
      <c r="A555" s="0" t="n">
        <v>554</v>
      </c>
      <c r="B555" s="0" t="n">
        <v>35.69</v>
      </c>
      <c r="C555" s="0" t="n">
        <v>29.96</v>
      </c>
      <c r="D555" s="0" t="n">
        <v>-26.17</v>
      </c>
      <c r="E555" s="0" t="n">
        <v>-480858.82</v>
      </c>
      <c r="F555" s="0" t="n">
        <v>8994.21</v>
      </c>
      <c r="G555" s="0" t="n">
        <v>-471864.61</v>
      </c>
      <c r="H555" s="0" t="n">
        <v>-1.4718</v>
      </c>
      <c r="I555" s="0" t="n">
        <v>471864.61</v>
      </c>
    </row>
    <row r="556" customFormat="false" ht="15" hidden="false" customHeight="false" outlineLevel="0" collapsed="false">
      <c r="A556" s="0" t="n">
        <v>555</v>
      </c>
      <c r="B556" s="0" t="n">
        <v>97.15</v>
      </c>
      <c r="C556" s="0" t="n">
        <v>-18.55</v>
      </c>
      <c r="D556" s="0" t="n">
        <v>-54.43</v>
      </c>
      <c r="E556" s="0" t="n">
        <v>-1309082.27</v>
      </c>
      <c r="F556" s="0" t="n">
        <v>66659.42</v>
      </c>
      <c r="G556" s="0" t="n">
        <v>-1242422.86</v>
      </c>
      <c r="H556" s="0" t="n">
        <v>-3.8754</v>
      </c>
      <c r="I556" s="0" t="n">
        <v>1242422.86</v>
      </c>
    </row>
    <row r="557" customFormat="false" ht="15" hidden="false" customHeight="false" outlineLevel="0" collapsed="false">
      <c r="A557" s="0" t="n">
        <v>556</v>
      </c>
      <c r="B557" s="0" t="n">
        <v>73.59</v>
      </c>
      <c r="C557" s="0" t="n">
        <v>26.86</v>
      </c>
      <c r="D557" s="0" t="n">
        <v>3.09</v>
      </c>
      <c r="E557" s="0" t="n">
        <v>-991574.39</v>
      </c>
      <c r="F557" s="0" t="n">
        <v>38245.31</v>
      </c>
      <c r="G557" s="0" t="n">
        <v>-953329.07</v>
      </c>
      <c r="H557" s="0" t="n">
        <v>-2.9736</v>
      </c>
      <c r="I557" s="0" t="n">
        <v>953329.07</v>
      </c>
    </row>
    <row r="558" customFormat="false" ht="15" hidden="false" customHeight="false" outlineLevel="0" collapsed="false">
      <c r="A558" s="0" t="n">
        <v>557</v>
      </c>
      <c r="B558" s="0" t="n">
        <v>59.91</v>
      </c>
      <c r="C558" s="0" t="n">
        <v>-30.43</v>
      </c>
      <c r="D558" s="0" t="n">
        <v>-2.7</v>
      </c>
      <c r="E558" s="0" t="n">
        <v>-807306.27</v>
      </c>
      <c r="F558" s="0" t="n">
        <v>25351.54</v>
      </c>
      <c r="G558" s="0" t="n">
        <v>-781954.74</v>
      </c>
      <c r="H558" s="0" t="n">
        <v>-2.4391</v>
      </c>
      <c r="I558" s="0" t="n">
        <v>781954.74</v>
      </c>
    </row>
    <row r="559" customFormat="false" ht="15" hidden="false" customHeight="false" outlineLevel="0" collapsed="false">
      <c r="A559" s="0" t="n">
        <v>558</v>
      </c>
      <c r="B559" s="0" t="n">
        <v>-117.36</v>
      </c>
      <c r="C559" s="0" t="n">
        <v>-25.36</v>
      </c>
      <c r="D559" s="0" t="n">
        <v>-23.6</v>
      </c>
      <c r="E559" s="0" t="n">
        <v>1581444.51</v>
      </c>
      <c r="F559" s="0" t="n">
        <v>97282.68</v>
      </c>
      <c r="G559" s="0" t="n">
        <v>1678727.2</v>
      </c>
      <c r="H559" s="0" t="n">
        <v>5.2363</v>
      </c>
      <c r="I559" s="0" t="n">
        <v>1678727.2</v>
      </c>
    </row>
    <row r="560" customFormat="false" ht="15" hidden="false" customHeight="false" outlineLevel="0" collapsed="false">
      <c r="A560" s="0" t="n">
        <v>559</v>
      </c>
      <c r="B560" s="0" t="n">
        <v>16.16</v>
      </c>
      <c r="C560" s="0" t="n">
        <v>52.04</v>
      </c>
      <c r="D560" s="0" t="n">
        <v>0.84</v>
      </c>
      <c r="E560" s="0" t="n">
        <v>-217691.23</v>
      </c>
      <c r="F560" s="0" t="n">
        <v>1843.36</v>
      </c>
      <c r="G560" s="0" t="n">
        <v>-215847.87</v>
      </c>
      <c r="H560" s="0" t="n">
        <v>-0.6733</v>
      </c>
      <c r="I560" s="0" t="n">
        <v>215847.87</v>
      </c>
    </row>
    <row r="561" customFormat="false" ht="15" hidden="false" customHeight="false" outlineLevel="0" collapsed="false">
      <c r="A561" s="0" t="n">
        <v>560</v>
      </c>
      <c r="B561" s="0" t="n">
        <v>-169.63</v>
      </c>
      <c r="C561" s="0" t="n">
        <v>-15.41</v>
      </c>
      <c r="D561" s="0" t="n">
        <v>-23.57</v>
      </c>
      <c r="E561" s="0" t="n">
        <v>2285692.97</v>
      </c>
      <c r="F561" s="0" t="n">
        <v>203218.58</v>
      </c>
      <c r="G561" s="0" t="n">
        <v>2488911.55</v>
      </c>
      <c r="H561" s="0" t="n">
        <v>7.7635</v>
      </c>
      <c r="I561" s="0" t="n">
        <v>2488911.55</v>
      </c>
    </row>
    <row r="562" customFormat="false" ht="15" hidden="false" customHeight="false" outlineLevel="0" collapsed="false">
      <c r="A562" s="0" t="n">
        <v>561</v>
      </c>
      <c r="B562" s="0" t="n">
        <v>-110.64</v>
      </c>
      <c r="C562" s="0" t="n">
        <v>-33.64</v>
      </c>
      <c r="D562" s="0" t="n">
        <v>16.09</v>
      </c>
      <c r="E562" s="0" t="n">
        <v>1490833.85</v>
      </c>
      <c r="F562" s="0" t="n">
        <v>86454.2</v>
      </c>
      <c r="G562" s="0" t="n">
        <v>1577288.05</v>
      </c>
      <c r="H562" s="0" t="n">
        <v>4.9199</v>
      </c>
      <c r="I562" s="0" t="n">
        <v>1577288.05</v>
      </c>
    </row>
    <row r="563" customFormat="false" ht="15" hidden="false" customHeight="false" outlineLevel="0" collapsed="false">
      <c r="A563" s="0" t="n">
        <v>562</v>
      </c>
      <c r="B563" s="0" t="n">
        <v>11</v>
      </c>
      <c r="C563" s="0" t="n">
        <v>158.98</v>
      </c>
      <c r="D563" s="0" t="n">
        <v>-13.73</v>
      </c>
      <c r="E563" s="0" t="n">
        <v>-148255.9</v>
      </c>
      <c r="F563" s="0" t="n">
        <v>854.97</v>
      </c>
      <c r="G563" s="0" t="n">
        <v>-147400.93</v>
      </c>
      <c r="H563" s="0" t="n">
        <v>-0.4598</v>
      </c>
      <c r="I563" s="0" t="n">
        <v>147400.93</v>
      </c>
    </row>
    <row r="564" customFormat="false" ht="15" hidden="false" customHeight="false" outlineLevel="0" collapsed="false">
      <c r="A564" s="0" t="n">
        <v>563</v>
      </c>
      <c r="B564" s="0" t="n">
        <v>-162.98</v>
      </c>
      <c r="C564" s="0" t="n">
        <v>-37.22</v>
      </c>
      <c r="D564" s="0" t="n">
        <v>33.57</v>
      </c>
      <c r="E564" s="0" t="n">
        <v>2196131.3</v>
      </c>
      <c r="F564" s="0" t="n">
        <v>187604.92</v>
      </c>
      <c r="G564" s="0" t="n">
        <v>2383736.22</v>
      </c>
      <c r="H564" s="0" t="n">
        <v>7.4354</v>
      </c>
      <c r="I564" s="0" t="n">
        <v>2383736.22</v>
      </c>
    </row>
    <row r="565" customFormat="false" ht="15" hidden="false" customHeight="false" outlineLevel="0" collapsed="false">
      <c r="A565" s="0" t="n">
        <v>564</v>
      </c>
      <c r="B565" s="0" t="n">
        <v>-67.37</v>
      </c>
      <c r="C565" s="0" t="n">
        <v>-37.93</v>
      </c>
      <c r="D565" s="0" t="n">
        <v>18.61</v>
      </c>
      <c r="E565" s="0" t="n">
        <v>907788.25</v>
      </c>
      <c r="F565" s="0" t="n">
        <v>32055.07</v>
      </c>
      <c r="G565" s="0" t="n">
        <v>939843.33</v>
      </c>
      <c r="H565" s="0" t="n">
        <v>2.9316</v>
      </c>
      <c r="I565" s="0" t="n">
        <v>939843.33</v>
      </c>
    </row>
    <row r="566" customFormat="false" ht="15" hidden="false" customHeight="false" outlineLevel="0" collapsed="false">
      <c r="A566" s="0" t="n">
        <v>565</v>
      </c>
      <c r="B566" s="0" t="n">
        <v>34.42</v>
      </c>
      <c r="C566" s="0" t="n">
        <v>-5.75</v>
      </c>
      <c r="D566" s="0" t="n">
        <v>-25.74</v>
      </c>
      <c r="E566" s="0" t="n">
        <v>-463748.91</v>
      </c>
      <c r="F566" s="0" t="n">
        <v>8365.53</v>
      </c>
      <c r="G566" s="0" t="n">
        <v>-455383.38</v>
      </c>
      <c r="H566" s="0" t="n">
        <v>-1.4204</v>
      </c>
      <c r="I566" s="0" t="n">
        <v>455383.38</v>
      </c>
    </row>
    <row r="567" customFormat="false" ht="15" hidden="false" customHeight="false" outlineLevel="0" collapsed="false">
      <c r="A567" s="0" t="n">
        <v>566</v>
      </c>
      <c r="B567" s="0" t="n">
        <v>74.28</v>
      </c>
      <c r="C567" s="0" t="n">
        <v>-60.77</v>
      </c>
      <c r="D567" s="0" t="n">
        <v>67.48</v>
      </c>
      <c r="E567" s="0" t="n">
        <v>-1000900.41</v>
      </c>
      <c r="F567" s="0" t="n">
        <v>38968.11</v>
      </c>
      <c r="G567" s="0" t="n">
        <v>-961932.29</v>
      </c>
      <c r="H567" s="0" t="n">
        <v>-3.0005</v>
      </c>
      <c r="I567" s="0" t="n">
        <v>961932.29</v>
      </c>
    </row>
    <row r="568" customFormat="false" ht="15" hidden="false" customHeight="false" outlineLevel="0" collapsed="false">
      <c r="A568" s="0" t="n">
        <v>567</v>
      </c>
      <c r="B568" s="0" t="n">
        <v>-54.75</v>
      </c>
      <c r="C568" s="0" t="n">
        <v>-32.67</v>
      </c>
      <c r="D568" s="0" t="n">
        <v>21.31</v>
      </c>
      <c r="E568" s="0" t="n">
        <v>737718.01</v>
      </c>
      <c r="F568" s="0" t="n">
        <v>21169.39</v>
      </c>
      <c r="G568" s="0" t="n">
        <v>758887.4</v>
      </c>
      <c r="H568" s="0" t="n">
        <v>2.3671</v>
      </c>
      <c r="I568" s="0" t="n">
        <v>758887.4</v>
      </c>
    </row>
    <row r="569" customFormat="false" ht="15" hidden="false" customHeight="false" outlineLevel="0" collapsed="false">
      <c r="A569" s="0" t="n">
        <v>568</v>
      </c>
      <c r="B569" s="0" t="n">
        <v>132</v>
      </c>
      <c r="C569" s="0" t="n">
        <v>41.1</v>
      </c>
      <c r="D569" s="0" t="n">
        <v>50.44</v>
      </c>
      <c r="E569" s="0" t="n">
        <v>-1778743.93</v>
      </c>
      <c r="F569" s="0" t="n">
        <v>123070.65</v>
      </c>
      <c r="G569" s="0" t="n">
        <v>-1655673.28</v>
      </c>
      <c r="H569" s="0" t="n">
        <v>-5.1644</v>
      </c>
      <c r="I569" s="0" t="n">
        <v>1655673.28</v>
      </c>
    </row>
    <row r="570" customFormat="false" ht="15" hidden="false" customHeight="false" outlineLevel="0" collapsed="false">
      <c r="A570" s="0" t="n">
        <v>569</v>
      </c>
      <c r="B570" s="0" t="n">
        <v>-18.58</v>
      </c>
      <c r="C570" s="0" t="n">
        <v>-7.05</v>
      </c>
      <c r="D570" s="0" t="n">
        <v>20.8</v>
      </c>
      <c r="E570" s="0" t="n">
        <v>250326.91</v>
      </c>
      <c r="F570" s="0" t="n">
        <v>2437.49</v>
      </c>
      <c r="G570" s="0" t="n">
        <v>252764.4</v>
      </c>
      <c r="H570" s="0" t="n">
        <v>0.7884</v>
      </c>
      <c r="I570" s="0" t="n">
        <v>252764.4</v>
      </c>
    </row>
    <row r="571" customFormat="false" ht="15" hidden="false" customHeight="false" outlineLevel="0" collapsed="false">
      <c r="A571" s="0" t="n">
        <v>570</v>
      </c>
      <c r="B571" s="0" t="n">
        <v>208.93</v>
      </c>
      <c r="C571" s="0" t="n">
        <v>-25.59</v>
      </c>
      <c r="D571" s="0" t="n">
        <v>13.39</v>
      </c>
      <c r="E571" s="0" t="n">
        <v>-2815327.34</v>
      </c>
      <c r="F571" s="0" t="n">
        <v>308308.45</v>
      </c>
      <c r="G571" s="0" t="n">
        <v>-2507018.89</v>
      </c>
      <c r="H571" s="0" t="n">
        <v>-7.8199</v>
      </c>
      <c r="I571" s="0" t="n">
        <v>2507018.89</v>
      </c>
    </row>
    <row r="572" customFormat="false" ht="15" hidden="false" customHeight="false" outlineLevel="0" collapsed="false">
      <c r="A572" s="0" t="n">
        <v>571</v>
      </c>
      <c r="B572" s="0" t="n">
        <v>-31.14</v>
      </c>
      <c r="C572" s="0" t="n">
        <v>58.94</v>
      </c>
      <c r="D572" s="0" t="n">
        <v>-27.61</v>
      </c>
      <c r="E572" s="0" t="n">
        <v>419592.2</v>
      </c>
      <c r="F572" s="0" t="n">
        <v>6848.29</v>
      </c>
      <c r="G572" s="0" t="n">
        <v>426440.49</v>
      </c>
      <c r="H572" s="0" t="n">
        <v>1.3302</v>
      </c>
      <c r="I572" s="0" t="n">
        <v>426440.49</v>
      </c>
    </row>
    <row r="573" customFormat="false" ht="15" hidden="false" customHeight="false" outlineLevel="0" collapsed="false">
      <c r="A573" s="0" t="n">
        <v>572</v>
      </c>
      <c r="B573" s="0" t="n">
        <v>26.95</v>
      </c>
      <c r="C573" s="0" t="n">
        <v>44.37</v>
      </c>
      <c r="D573" s="0" t="n">
        <v>1.85</v>
      </c>
      <c r="E573" s="0" t="n">
        <v>-363170.28</v>
      </c>
      <c r="F573" s="0" t="n">
        <v>5130.36</v>
      </c>
      <c r="G573" s="0" t="n">
        <v>-358039.92</v>
      </c>
      <c r="H573" s="0" t="n">
        <v>-1.1168</v>
      </c>
      <c r="I573" s="0" t="n">
        <v>358039.92</v>
      </c>
    </row>
    <row r="574" customFormat="false" ht="15" hidden="false" customHeight="false" outlineLevel="0" collapsed="false">
      <c r="A574" s="0" t="n">
        <v>573</v>
      </c>
      <c r="B574" s="0" t="n">
        <v>84.04</v>
      </c>
      <c r="C574" s="0" t="n">
        <v>-26.74</v>
      </c>
      <c r="D574" s="0" t="n">
        <v>15.74</v>
      </c>
      <c r="E574" s="0" t="n">
        <v>-1132445.84</v>
      </c>
      <c r="F574" s="0" t="n">
        <v>49884.14</v>
      </c>
      <c r="G574" s="0" t="n">
        <v>-1082561.69</v>
      </c>
      <c r="H574" s="0" t="n">
        <v>-3.3767</v>
      </c>
      <c r="I574" s="0" t="n">
        <v>1082561.69</v>
      </c>
    </row>
    <row r="575" customFormat="false" ht="15" hidden="false" customHeight="false" outlineLevel="0" collapsed="false">
      <c r="A575" s="0" t="n">
        <v>574</v>
      </c>
      <c r="B575" s="0" t="n">
        <v>-3.44</v>
      </c>
      <c r="C575" s="0" t="n">
        <v>-71.84</v>
      </c>
      <c r="D575" s="0" t="n">
        <v>24.26</v>
      </c>
      <c r="E575" s="0" t="n">
        <v>46293.08</v>
      </c>
      <c r="F575" s="0" t="n">
        <v>83.36</v>
      </c>
      <c r="G575" s="0" t="n">
        <v>46376.44</v>
      </c>
      <c r="H575" s="0" t="n">
        <v>0.1447</v>
      </c>
      <c r="I575" s="0" t="n">
        <v>46376.44</v>
      </c>
    </row>
    <row r="576" customFormat="false" ht="15" hidden="false" customHeight="false" outlineLevel="0" collapsed="false">
      <c r="A576" s="0" t="n">
        <v>575</v>
      </c>
      <c r="B576" s="0" t="n">
        <v>-165.78</v>
      </c>
      <c r="C576" s="0" t="n">
        <v>69.46</v>
      </c>
      <c r="D576" s="0" t="n">
        <v>16.38</v>
      </c>
      <c r="E576" s="0" t="n">
        <v>2233884.51</v>
      </c>
      <c r="F576" s="0" t="n">
        <v>194110.52</v>
      </c>
      <c r="G576" s="0" t="n">
        <v>2427995.03</v>
      </c>
      <c r="H576" s="0" t="n">
        <v>7.5734</v>
      </c>
      <c r="I576" s="0" t="n">
        <v>2427995.03</v>
      </c>
    </row>
    <row r="577" customFormat="false" ht="15" hidden="false" customHeight="false" outlineLevel="0" collapsed="false">
      <c r="A577" s="0" t="n">
        <v>576</v>
      </c>
      <c r="B577" s="0" t="n">
        <v>194.66</v>
      </c>
      <c r="C577" s="0" t="n">
        <v>-33.84</v>
      </c>
      <c r="D577" s="0" t="n">
        <v>51.51</v>
      </c>
      <c r="E577" s="0" t="n">
        <v>-2623046.26</v>
      </c>
      <c r="F577" s="0" t="n">
        <v>267632.92</v>
      </c>
      <c r="G577" s="0" t="n">
        <v>-2355413.34</v>
      </c>
      <c r="H577" s="0" t="n">
        <v>-7.347</v>
      </c>
      <c r="I577" s="0" t="n">
        <v>2355413.34</v>
      </c>
    </row>
    <row r="578" customFormat="false" ht="15" hidden="false" customHeight="false" outlineLevel="0" collapsed="false">
      <c r="A578" s="0" t="n">
        <v>577</v>
      </c>
      <c r="B578" s="0" t="n">
        <v>-30</v>
      </c>
      <c r="C578" s="0" t="n">
        <v>-25.29</v>
      </c>
      <c r="D578" s="0" t="n">
        <v>-23.03</v>
      </c>
      <c r="E578" s="0" t="n">
        <v>404252.72</v>
      </c>
      <c r="F578" s="0" t="n">
        <v>6356.73</v>
      </c>
      <c r="G578" s="0" t="n">
        <v>410609.45</v>
      </c>
      <c r="H578" s="0" t="n">
        <v>1.2808</v>
      </c>
      <c r="I578" s="0" t="n">
        <v>410609.45</v>
      </c>
    </row>
    <row r="579" customFormat="false" ht="15" hidden="false" customHeight="false" outlineLevel="0" collapsed="false">
      <c r="A579" s="0" t="n">
        <v>578</v>
      </c>
      <c r="B579" s="0" t="n">
        <v>-39.18</v>
      </c>
      <c r="C579" s="0" t="n">
        <v>23.13</v>
      </c>
      <c r="D579" s="0" t="n">
        <v>45.59</v>
      </c>
      <c r="E579" s="0" t="n">
        <v>527920.57</v>
      </c>
      <c r="F579" s="0" t="n">
        <v>10840.89</v>
      </c>
      <c r="G579" s="0" t="n">
        <v>538761.46</v>
      </c>
      <c r="H579" s="0" t="n">
        <v>1.6805</v>
      </c>
      <c r="I579" s="0" t="n">
        <v>538761.46</v>
      </c>
    </row>
    <row r="580" customFormat="false" ht="15" hidden="false" customHeight="false" outlineLevel="0" collapsed="false">
      <c r="A580" s="0" t="n">
        <v>579</v>
      </c>
      <c r="B580" s="0" t="n">
        <v>-64.9</v>
      </c>
      <c r="C580" s="0" t="n">
        <v>8.56</v>
      </c>
      <c r="D580" s="0" t="n">
        <v>32.54</v>
      </c>
      <c r="E580" s="0" t="n">
        <v>874569.09</v>
      </c>
      <c r="F580" s="0" t="n">
        <v>29751.98</v>
      </c>
      <c r="G580" s="0" t="n">
        <v>904321.07</v>
      </c>
      <c r="H580" s="0" t="n">
        <v>2.8208</v>
      </c>
      <c r="I580" s="0" t="n">
        <v>904321.07</v>
      </c>
    </row>
    <row r="581" customFormat="false" ht="15" hidden="false" customHeight="false" outlineLevel="0" collapsed="false">
      <c r="A581" s="0" t="n">
        <v>580</v>
      </c>
      <c r="B581" s="0" t="n">
        <v>-6.08</v>
      </c>
      <c r="C581" s="0" t="n">
        <v>30.77</v>
      </c>
      <c r="D581" s="0" t="n">
        <v>-36.47</v>
      </c>
      <c r="E581" s="0" t="n">
        <v>81955.14</v>
      </c>
      <c r="F581" s="0" t="n">
        <v>261.26</v>
      </c>
      <c r="G581" s="0" t="n">
        <v>82216.41</v>
      </c>
      <c r="H581" s="0" t="n">
        <v>0.2565</v>
      </c>
      <c r="I581" s="0" t="n">
        <v>82216.41</v>
      </c>
    </row>
    <row r="582" customFormat="false" ht="15" hidden="false" customHeight="false" outlineLevel="0" collapsed="false">
      <c r="A582" s="0" t="n">
        <v>581</v>
      </c>
      <c r="B582" s="0" t="n">
        <v>1.77</v>
      </c>
      <c r="C582" s="0" t="n">
        <v>44.65</v>
      </c>
      <c r="D582" s="0" t="n">
        <v>-31.62</v>
      </c>
      <c r="E582" s="0" t="n">
        <v>-23892.13</v>
      </c>
      <c r="F582" s="0" t="n">
        <v>22.2</v>
      </c>
      <c r="G582" s="0" t="n">
        <v>-23869.93</v>
      </c>
      <c r="H582" s="0" t="n">
        <v>-0.0745</v>
      </c>
      <c r="I582" s="0" t="n">
        <v>23869.93</v>
      </c>
    </row>
    <row r="583" customFormat="false" ht="15" hidden="false" customHeight="false" outlineLevel="0" collapsed="false">
      <c r="A583" s="0" t="n">
        <v>582</v>
      </c>
      <c r="B583" s="0" t="n">
        <v>-48.97</v>
      </c>
      <c r="C583" s="0" t="n">
        <v>-13.73</v>
      </c>
      <c r="D583" s="0" t="n">
        <v>1.97</v>
      </c>
      <c r="E583" s="0" t="n">
        <v>659861.58</v>
      </c>
      <c r="F583" s="0" t="n">
        <v>16936.88</v>
      </c>
      <c r="G583" s="0" t="n">
        <v>676798.46</v>
      </c>
      <c r="H583" s="0" t="n">
        <v>2.1111</v>
      </c>
      <c r="I583" s="0" t="n">
        <v>676798.46</v>
      </c>
    </row>
    <row r="584" customFormat="false" ht="15" hidden="false" customHeight="false" outlineLevel="0" collapsed="false">
      <c r="A584" s="0" t="n">
        <v>583</v>
      </c>
      <c r="B584" s="0" t="n">
        <v>121.19</v>
      </c>
      <c r="C584" s="0" t="n">
        <v>39.05</v>
      </c>
      <c r="D584" s="0" t="n">
        <v>24.17</v>
      </c>
      <c r="E584" s="0" t="n">
        <v>-1633054.83</v>
      </c>
      <c r="F584" s="0" t="n">
        <v>103735.92</v>
      </c>
      <c r="G584" s="0" t="n">
        <v>-1529318.91</v>
      </c>
      <c r="H584" s="0" t="n">
        <v>-4.7703</v>
      </c>
      <c r="I584" s="0" t="n">
        <v>1529318.91</v>
      </c>
    </row>
    <row r="585" customFormat="false" ht="15" hidden="false" customHeight="false" outlineLevel="0" collapsed="false">
      <c r="A585" s="0" t="n">
        <v>584</v>
      </c>
      <c r="B585" s="0" t="n">
        <v>-45.02</v>
      </c>
      <c r="C585" s="0" t="n">
        <v>48.74</v>
      </c>
      <c r="D585" s="0" t="n">
        <v>-44.43</v>
      </c>
      <c r="E585" s="0" t="n">
        <v>606636.76</v>
      </c>
      <c r="F585" s="0" t="n">
        <v>14314.79</v>
      </c>
      <c r="G585" s="0" t="n">
        <v>620951.55</v>
      </c>
      <c r="H585" s="0" t="n">
        <v>1.9369</v>
      </c>
      <c r="I585" s="0" t="n">
        <v>620951.55</v>
      </c>
    </row>
    <row r="586" customFormat="false" ht="15" hidden="false" customHeight="false" outlineLevel="0" collapsed="false">
      <c r="A586" s="0" t="n">
        <v>585</v>
      </c>
      <c r="B586" s="0" t="n">
        <v>-144.3</v>
      </c>
      <c r="C586" s="0" t="n">
        <v>58.86</v>
      </c>
      <c r="D586" s="0" t="n">
        <v>18.24</v>
      </c>
      <c r="E586" s="0" t="n">
        <v>1944446.47</v>
      </c>
      <c r="F586" s="0" t="n">
        <v>147068.48</v>
      </c>
      <c r="G586" s="0" t="n">
        <v>2091514.96</v>
      </c>
      <c r="H586" s="0" t="n">
        <v>6.5239</v>
      </c>
      <c r="I586" s="0" t="n">
        <v>2091514.96</v>
      </c>
    </row>
    <row r="587" customFormat="false" ht="15" hidden="false" customHeight="false" outlineLevel="0" collapsed="false">
      <c r="A587" s="0" t="n">
        <v>586</v>
      </c>
      <c r="B587" s="0" t="n">
        <v>-83.84</v>
      </c>
      <c r="C587" s="0" t="n">
        <v>29.69</v>
      </c>
      <c r="D587" s="0" t="n">
        <v>37.6</v>
      </c>
      <c r="E587" s="0" t="n">
        <v>1129760.53</v>
      </c>
      <c r="F587" s="0" t="n">
        <v>49647.85</v>
      </c>
      <c r="G587" s="0" t="n">
        <v>1179408.38</v>
      </c>
      <c r="H587" s="0" t="n">
        <v>3.6788</v>
      </c>
      <c r="I587" s="0" t="n">
        <v>1179408.38</v>
      </c>
    </row>
    <row r="588" customFormat="false" ht="15" hidden="false" customHeight="false" outlineLevel="0" collapsed="false">
      <c r="A588" s="0" t="n">
        <v>587</v>
      </c>
      <c r="B588" s="0" t="n">
        <v>-89.71</v>
      </c>
      <c r="C588" s="0" t="n">
        <v>20.4</v>
      </c>
      <c r="D588" s="0" t="n">
        <v>-25.12</v>
      </c>
      <c r="E588" s="0" t="n">
        <v>1208826.07</v>
      </c>
      <c r="F588" s="0" t="n">
        <v>56840.16</v>
      </c>
      <c r="G588" s="0" t="n">
        <v>1265666.22</v>
      </c>
      <c r="H588" s="0" t="n">
        <v>3.9479</v>
      </c>
      <c r="I588" s="0" t="n">
        <v>1265666.22</v>
      </c>
    </row>
    <row r="589" customFormat="false" ht="15" hidden="false" customHeight="false" outlineLevel="0" collapsed="false">
      <c r="A589" s="0" t="n">
        <v>588</v>
      </c>
      <c r="B589" s="0" t="n">
        <v>-130.27</v>
      </c>
      <c r="C589" s="0" t="n">
        <v>63.9</v>
      </c>
      <c r="D589" s="0" t="n">
        <v>26.25</v>
      </c>
      <c r="E589" s="0" t="n">
        <v>1755377.6</v>
      </c>
      <c r="F589" s="0" t="n">
        <v>119858.47</v>
      </c>
      <c r="G589" s="0" t="n">
        <v>1875236.07</v>
      </c>
      <c r="H589" s="0" t="n">
        <v>5.8493</v>
      </c>
      <c r="I589" s="0" t="n">
        <v>1875236.07</v>
      </c>
    </row>
    <row r="590" customFormat="false" ht="15" hidden="false" customHeight="false" outlineLevel="0" collapsed="false">
      <c r="A590" s="0" t="n">
        <v>589</v>
      </c>
      <c r="B590" s="0" t="n">
        <v>200.42</v>
      </c>
      <c r="C590" s="0" t="n">
        <v>28.2</v>
      </c>
      <c r="D590" s="0" t="n">
        <v>33.95</v>
      </c>
      <c r="E590" s="0" t="n">
        <v>-2700679.16</v>
      </c>
      <c r="F590" s="0" t="n">
        <v>283709.33</v>
      </c>
      <c r="G590" s="0" t="n">
        <v>-2416969.83</v>
      </c>
      <c r="H590" s="0" t="n">
        <v>-7.539</v>
      </c>
      <c r="I590" s="0" t="n">
        <v>2416969.83</v>
      </c>
    </row>
    <row r="591" customFormat="false" ht="15" hidden="false" customHeight="false" outlineLevel="0" collapsed="false">
      <c r="A591" s="0" t="n">
        <v>590</v>
      </c>
      <c r="B591" s="0" t="n">
        <v>173.29</v>
      </c>
      <c r="C591" s="0" t="n">
        <v>-72.04</v>
      </c>
      <c r="D591" s="0" t="n">
        <v>-10.45</v>
      </c>
      <c r="E591" s="0" t="n">
        <v>-2335123.59</v>
      </c>
      <c r="F591" s="0" t="n">
        <v>212103.28</v>
      </c>
      <c r="G591" s="0" t="n">
        <v>-2123020.32</v>
      </c>
      <c r="H591" s="0" t="n">
        <v>-6.6222</v>
      </c>
      <c r="I591" s="0" t="n">
        <v>2123020.32</v>
      </c>
    </row>
    <row r="592" customFormat="false" ht="15" hidden="false" customHeight="false" outlineLevel="0" collapsed="false">
      <c r="A592" s="0" t="n">
        <v>591</v>
      </c>
      <c r="B592" s="0" t="n">
        <v>147.08</v>
      </c>
      <c r="C592" s="0" t="n">
        <v>32.78</v>
      </c>
      <c r="D592" s="0" t="n">
        <v>53.64</v>
      </c>
      <c r="E592" s="0" t="n">
        <v>-1981894.32</v>
      </c>
      <c r="F592" s="0" t="n">
        <v>152787.78</v>
      </c>
      <c r="G592" s="0" t="n">
        <v>-1829106.54</v>
      </c>
      <c r="H592" s="0" t="n">
        <v>-5.7054</v>
      </c>
      <c r="I592" s="0" t="n">
        <v>1829106.54</v>
      </c>
    </row>
    <row r="593" customFormat="false" ht="15" hidden="false" customHeight="false" outlineLevel="0" collapsed="false">
      <c r="A593" s="0" t="n">
        <v>592</v>
      </c>
      <c r="B593" s="0" t="n">
        <v>-126.12</v>
      </c>
      <c r="C593" s="0" t="n">
        <v>-71.88</v>
      </c>
      <c r="D593" s="0" t="n">
        <v>26.89</v>
      </c>
      <c r="E593" s="0" t="n">
        <v>1699436.61</v>
      </c>
      <c r="F593" s="0" t="n">
        <v>112340.82</v>
      </c>
      <c r="G593" s="0" t="n">
        <v>1811777.43</v>
      </c>
      <c r="H593" s="0" t="n">
        <v>5.6513</v>
      </c>
      <c r="I593" s="0" t="n">
        <v>1811777.43</v>
      </c>
    </row>
    <row r="594" customFormat="false" ht="15" hidden="false" customHeight="false" outlineLevel="0" collapsed="false">
      <c r="A594" s="0" t="n">
        <v>593</v>
      </c>
      <c r="B594" s="0" t="n">
        <v>69.41</v>
      </c>
      <c r="C594" s="0" t="n">
        <v>33.1</v>
      </c>
      <c r="D594" s="0" t="n">
        <v>1.21</v>
      </c>
      <c r="E594" s="0" t="n">
        <v>-935328.29</v>
      </c>
      <c r="F594" s="0" t="n">
        <v>34029.52</v>
      </c>
      <c r="G594" s="0" t="n">
        <v>-901298.78</v>
      </c>
      <c r="H594" s="0" t="n">
        <v>-2.8113</v>
      </c>
      <c r="I594" s="0" t="n">
        <v>901298.78</v>
      </c>
    </row>
    <row r="595" customFormat="false" ht="15" hidden="false" customHeight="false" outlineLevel="0" collapsed="false">
      <c r="A595" s="0" t="n">
        <v>594</v>
      </c>
      <c r="B595" s="0" t="n">
        <v>-118.42</v>
      </c>
      <c r="C595" s="0" t="n">
        <v>9.47</v>
      </c>
      <c r="D595" s="0" t="n">
        <v>-30.29</v>
      </c>
      <c r="E595" s="0" t="n">
        <v>1595709.64</v>
      </c>
      <c r="F595" s="0" t="n">
        <v>99045.64</v>
      </c>
      <c r="G595" s="0" t="n">
        <v>1694755.28</v>
      </c>
      <c r="H595" s="0" t="n">
        <v>5.2863</v>
      </c>
      <c r="I595" s="0" t="n">
        <v>1694755.28</v>
      </c>
    </row>
    <row r="596" customFormat="false" ht="15" hidden="false" customHeight="false" outlineLevel="0" collapsed="false">
      <c r="A596" s="0" t="n">
        <v>595</v>
      </c>
      <c r="B596" s="0" t="n">
        <v>34.76</v>
      </c>
      <c r="C596" s="0" t="n">
        <v>29.32</v>
      </c>
      <c r="D596" s="0" t="n">
        <v>6.71</v>
      </c>
      <c r="E596" s="0" t="n">
        <v>-468442.79</v>
      </c>
      <c r="F596" s="0" t="n">
        <v>8535.73</v>
      </c>
      <c r="G596" s="0" t="n">
        <v>-459907.06</v>
      </c>
      <c r="H596" s="0" t="n">
        <v>-1.4345</v>
      </c>
      <c r="I596" s="0" t="n">
        <v>459907.06</v>
      </c>
    </row>
    <row r="597" customFormat="false" ht="15" hidden="false" customHeight="false" outlineLevel="0" collapsed="false">
      <c r="A597" s="0" t="n">
        <v>596</v>
      </c>
      <c r="B597" s="0" t="n">
        <v>6.44</v>
      </c>
      <c r="C597" s="0" t="n">
        <v>-48.24</v>
      </c>
      <c r="D597" s="0" t="n">
        <v>-34.48</v>
      </c>
      <c r="E597" s="0" t="n">
        <v>-86801.29</v>
      </c>
      <c r="F597" s="0" t="n">
        <v>293.08</v>
      </c>
      <c r="G597" s="0" t="n">
        <v>-86508.21</v>
      </c>
      <c r="H597" s="0" t="n">
        <v>-0.2698</v>
      </c>
      <c r="I597" s="0" t="n">
        <v>86508.21</v>
      </c>
    </row>
    <row r="598" customFormat="false" ht="15" hidden="false" customHeight="false" outlineLevel="0" collapsed="false">
      <c r="A598" s="0" t="n">
        <v>597</v>
      </c>
      <c r="B598" s="0" t="n">
        <v>-89.15</v>
      </c>
      <c r="C598" s="0" t="n">
        <v>10.88</v>
      </c>
      <c r="D598" s="0" t="n">
        <v>-15.91</v>
      </c>
      <c r="E598" s="0" t="n">
        <v>1201320.82</v>
      </c>
      <c r="F598" s="0" t="n">
        <v>56136.54</v>
      </c>
      <c r="G598" s="0" t="n">
        <v>1257457.36</v>
      </c>
      <c r="H598" s="0" t="n">
        <v>3.9223</v>
      </c>
      <c r="I598" s="0" t="n">
        <v>1257457.36</v>
      </c>
    </row>
    <row r="599" customFormat="false" ht="15" hidden="false" customHeight="false" outlineLevel="0" collapsed="false">
      <c r="A599" s="0" t="n">
        <v>598</v>
      </c>
      <c r="B599" s="0" t="n">
        <v>38.87</v>
      </c>
      <c r="C599" s="0" t="n">
        <v>36.91</v>
      </c>
      <c r="D599" s="0" t="n">
        <v>5.36</v>
      </c>
      <c r="E599" s="0" t="n">
        <v>-523748.25</v>
      </c>
      <c r="F599" s="0" t="n">
        <v>10670.21</v>
      </c>
      <c r="G599" s="0" t="n">
        <v>-513078.04</v>
      </c>
      <c r="H599" s="0" t="n">
        <v>-1.6004</v>
      </c>
      <c r="I599" s="0" t="n">
        <v>513078.04</v>
      </c>
    </row>
    <row r="600" customFormat="false" ht="15" hidden="false" customHeight="false" outlineLevel="0" collapsed="false">
      <c r="A600" s="0" t="n">
        <v>599</v>
      </c>
      <c r="B600" s="0" t="n">
        <v>-13.77</v>
      </c>
      <c r="C600" s="0" t="n">
        <v>-26.2</v>
      </c>
      <c r="D600" s="0" t="n">
        <v>-16.09</v>
      </c>
      <c r="E600" s="0" t="n">
        <v>185537.52</v>
      </c>
      <c r="F600" s="0" t="n">
        <v>1339.03</v>
      </c>
      <c r="G600" s="0" t="n">
        <v>186876.55</v>
      </c>
      <c r="H600" s="0" t="n">
        <v>0.5829</v>
      </c>
      <c r="I600" s="0" t="n">
        <v>186876.55</v>
      </c>
    </row>
    <row r="601" customFormat="false" ht="15" hidden="false" customHeight="false" outlineLevel="0" collapsed="false">
      <c r="A601" s="0" t="n">
        <v>600</v>
      </c>
      <c r="B601" s="0" t="n">
        <v>-98</v>
      </c>
      <c r="C601" s="0" t="n">
        <v>-20.15</v>
      </c>
      <c r="D601" s="0" t="n">
        <v>2.99</v>
      </c>
      <c r="E601" s="0" t="n">
        <v>1320568.72</v>
      </c>
      <c r="F601" s="0" t="n">
        <v>67834.35</v>
      </c>
      <c r="G601" s="0" t="n">
        <v>1388403.07</v>
      </c>
      <c r="H601" s="0" t="n">
        <v>4.3307</v>
      </c>
      <c r="I601" s="0" t="n">
        <v>1388403.07</v>
      </c>
    </row>
    <row r="602" customFormat="false" ht="15" hidden="false" customHeight="false" outlineLevel="0" collapsed="false">
      <c r="A602" s="0" t="n">
        <v>601</v>
      </c>
      <c r="B602" s="0" t="n">
        <v>-87.21</v>
      </c>
      <c r="C602" s="0" t="n">
        <v>-65.95</v>
      </c>
      <c r="D602" s="0" t="n">
        <v>-31.29</v>
      </c>
      <c r="E602" s="0" t="n">
        <v>1175214.14</v>
      </c>
      <c r="F602" s="0" t="n">
        <v>53723.17</v>
      </c>
      <c r="G602" s="0" t="n">
        <v>1228937.32</v>
      </c>
      <c r="H602" s="0" t="n">
        <v>3.8333</v>
      </c>
      <c r="I602" s="0" t="n">
        <v>1228937.32</v>
      </c>
    </row>
    <row r="603" customFormat="false" ht="15" hidden="false" customHeight="false" outlineLevel="0" collapsed="false">
      <c r="A603" s="0" t="n">
        <v>602</v>
      </c>
      <c r="B603" s="0" t="n">
        <v>43.03</v>
      </c>
      <c r="C603" s="0" t="n">
        <v>-5.4</v>
      </c>
      <c r="D603" s="0" t="n">
        <v>17.5</v>
      </c>
      <c r="E603" s="0" t="n">
        <v>-579774.72</v>
      </c>
      <c r="F603" s="0" t="n">
        <v>13075.14</v>
      </c>
      <c r="G603" s="0" t="n">
        <v>-566699.59</v>
      </c>
      <c r="H603" s="0" t="n">
        <v>-1.7677</v>
      </c>
      <c r="I603" s="0" t="n">
        <v>566699.59</v>
      </c>
    </row>
    <row r="604" customFormat="false" ht="15" hidden="false" customHeight="false" outlineLevel="0" collapsed="false">
      <c r="A604" s="0" t="n">
        <v>603</v>
      </c>
      <c r="B604" s="0" t="n">
        <v>72.14</v>
      </c>
      <c r="C604" s="0" t="n">
        <v>-58.04</v>
      </c>
      <c r="D604" s="0" t="n">
        <v>6.82</v>
      </c>
      <c r="E604" s="0" t="n">
        <v>-972042.4</v>
      </c>
      <c r="F604" s="0" t="n">
        <v>36753.44</v>
      </c>
      <c r="G604" s="0" t="n">
        <v>-935288.95</v>
      </c>
      <c r="H604" s="0" t="n">
        <v>-2.9174</v>
      </c>
      <c r="I604" s="0" t="n">
        <v>935288.95</v>
      </c>
    </row>
    <row r="605" customFormat="false" ht="15" hidden="false" customHeight="false" outlineLevel="0" collapsed="false">
      <c r="A605" s="0" t="n">
        <v>604</v>
      </c>
      <c r="B605" s="0" t="n">
        <v>46.2</v>
      </c>
      <c r="C605" s="0" t="n">
        <v>-1.63</v>
      </c>
      <c r="D605" s="0" t="n">
        <v>-18.2</v>
      </c>
      <c r="E605" s="0" t="n">
        <v>-622571.07</v>
      </c>
      <c r="F605" s="0" t="n">
        <v>15076.67</v>
      </c>
      <c r="G605" s="0" t="n">
        <v>-607494.39</v>
      </c>
      <c r="H605" s="0" t="n">
        <v>-1.8949</v>
      </c>
      <c r="I605" s="0" t="n">
        <v>607494.39</v>
      </c>
    </row>
    <row r="606" customFormat="false" ht="15" hidden="false" customHeight="false" outlineLevel="0" collapsed="false">
      <c r="A606" s="0" t="n">
        <v>605</v>
      </c>
      <c r="B606" s="0" t="n">
        <v>-7.12</v>
      </c>
      <c r="C606" s="0" t="n">
        <v>-6.61</v>
      </c>
      <c r="D606" s="0" t="n">
        <v>-4.71</v>
      </c>
      <c r="E606" s="0" t="n">
        <v>95923.02</v>
      </c>
      <c r="F606" s="0" t="n">
        <v>357.91</v>
      </c>
      <c r="G606" s="0" t="n">
        <v>96280.93</v>
      </c>
      <c r="H606" s="0" t="n">
        <v>0.3003</v>
      </c>
      <c r="I606" s="0" t="n">
        <v>96280.93</v>
      </c>
    </row>
    <row r="607" customFormat="false" ht="15" hidden="false" customHeight="false" outlineLevel="0" collapsed="false">
      <c r="A607" s="0" t="n">
        <v>606</v>
      </c>
      <c r="B607" s="0" t="n">
        <v>106.65</v>
      </c>
      <c r="C607" s="0" t="n">
        <v>34.63</v>
      </c>
      <c r="D607" s="0" t="n">
        <v>42.71</v>
      </c>
      <c r="E607" s="0" t="n">
        <v>-1437066.67</v>
      </c>
      <c r="F607" s="0" t="n">
        <v>80330.68</v>
      </c>
      <c r="G607" s="0" t="n">
        <v>-1356735.99</v>
      </c>
      <c r="H607" s="0" t="n">
        <v>-4.232</v>
      </c>
      <c r="I607" s="0" t="n">
        <v>1356735.99</v>
      </c>
    </row>
    <row r="608" customFormat="false" ht="15" hidden="false" customHeight="false" outlineLevel="0" collapsed="false">
      <c r="A608" s="0" t="n">
        <v>607</v>
      </c>
      <c r="B608" s="0" t="n">
        <v>96.3</v>
      </c>
      <c r="C608" s="0" t="n">
        <v>-38.48</v>
      </c>
      <c r="D608" s="0" t="n">
        <v>-8.77</v>
      </c>
      <c r="E608" s="0" t="n">
        <v>-1297693.56</v>
      </c>
      <c r="F608" s="0" t="n">
        <v>65504.62</v>
      </c>
      <c r="G608" s="0" t="n">
        <v>-1232188.94</v>
      </c>
      <c r="H608" s="0" t="n">
        <v>-3.8435</v>
      </c>
      <c r="I608" s="0" t="n">
        <v>1232188.94</v>
      </c>
    </row>
    <row r="609" customFormat="false" ht="15" hidden="false" customHeight="false" outlineLevel="0" collapsed="false">
      <c r="A609" s="0" t="n">
        <v>608</v>
      </c>
      <c r="B609" s="0" t="n">
        <v>11.14</v>
      </c>
      <c r="C609" s="0" t="n">
        <v>-40.29</v>
      </c>
      <c r="D609" s="0" t="n">
        <v>-27.34</v>
      </c>
      <c r="E609" s="0" t="n">
        <v>-150101.12</v>
      </c>
      <c r="F609" s="0" t="n">
        <v>876.39</v>
      </c>
      <c r="G609" s="0" t="n">
        <v>-149224.73</v>
      </c>
      <c r="H609" s="0" t="n">
        <v>-0.4655</v>
      </c>
      <c r="I609" s="0" t="n">
        <v>149224.73</v>
      </c>
    </row>
    <row r="610" customFormat="false" ht="15" hidden="false" customHeight="false" outlineLevel="0" collapsed="false">
      <c r="A610" s="0" t="n">
        <v>609</v>
      </c>
      <c r="B610" s="0" t="n">
        <v>-76.72</v>
      </c>
      <c r="C610" s="0" t="n">
        <v>-62.63</v>
      </c>
      <c r="D610" s="0" t="n">
        <v>36.68</v>
      </c>
      <c r="E610" s="0" t="n">
        <v>1033822.76</v>
      </c>
      <c r="F610" s="0" t="n">
        <v>41573.81</v>
      </c>
      <c r="G610" s="0" t="n">
        <v>1075396.56</v>
      </c>
      <c r="H610" s="0" t="n">
        <v>3.3544</v>
      </c>
      <c r="I610" s="0" t="n">
        <v>1075396.56</v>
      </c>
    </row>
    <row r="611" customFormat="false" ht="15" hidden="false" customHeight="false" outlineLevel="0" collapsed="false">
      <c r="A611" s="0" t="n">
        <v>610</v>
      </c>
      <c r="B611" s="0" t="n">
        <v>92.16</v>
      </c>
      <c r="C611" s="0" t="n">
        <v>-63.38</v>
      </c>
      <c r="D611" s="0" t="n">
        <v>13.97</v>
      </c>
      <c r="E611" s="0" t="n">
        <v>-1241885.33</v>
      </c>
      <c r="F611" s="0" t="n">
        <v>59991.63</v>
      </c>
      <c r="G611" s="0" t="n">
        <v>-1181893.71</v>
      </c>
      <c r="H611" s="0" t="n">
        <v>-3.6866</v>
      </c>
      <c r="I611" s="0" t="n">
        <v>1181893.71</v>
      </c>
    </row>
    <row r="612" customFormat="false" ht="15" hidden="false" customHeight="false" outlineLevel="0" collapsed="false">
      <c r="A612" s="0" t="n">
        <v>611</v>
      </c>
      <c r="B612" s="0" t="n">
        <v>92.83</v>
      </c>
      <c r="C612" s="0" t="n">
        <v>14.65</v>
      </c>
      <c r="D612" s="0" t="n">
        <v>6.79</v>
      </c>
      <c r="E612" s="0" t="n">
        <v>-1250931.57</v>
      </c>
      <c r="F612" s="0" t="n">
        <v>60868.8</v>
      </c>
      <c r="G612" s="0" t="n">
        <v>-1190062.77</v>
      </c>
      <c r="H612" s="0" t="n">
        <v>-3.7121</v>
      </c>
      <c r="I612" s="0" t="n">
        <v>1190062.77</v>
      </c>
    </row>
    <row r="613" customFormat="false" ht="15" hidden="false" customHeight="false" outlineLevel="0" collapsed="false">
      <c r="A613" s="0" t="n">
        <v>612</v>
      </c>
      <c r="B613" s="0" t="n">
        <v>72.34</v>
      </c>
      <c r="C613" s="0" t="n">
        <v>28.06</v>
      </c>
      <c r="D613" s="0" t="n">
        <v>-10.87</v>
      </c>
      <c r="E613" s="0" t="n">
        <v>-974799.78</v>
      </c>
      <c r="F613" s="0" t="n">
        <v>36962.26</v>
      </c>
      <c r="G613" s="0" t="n">
        <v>-937837.53</v>
      </c>
      <c r="H613" s="0" t="n">
        <v>-2.9253</v>
      </c>
      <c r="I613" s="0" t="n">
        <v>937837.53</v>
      </c>
    </row>
    <row r="614" customFormat="false" ht="15" hidden="false" customHeight="false" outlineLevel="0" collapsed="false">
      <c r="A614" s="0" t="n">
        <v>613</v>
      </c>
      <c r="B614" s="0" t="n">
        <v>23.69</v>
      </c>
      <c r="C614" s="0" t="n">
        <v>1.2</v>
      </c>
      <c r="D614" s="0" t="n">
        <v>55.37</v>
      </c>
      <c r="E614" s="0" t="n">
        <v>-319189.94</v>
      </c>
      <c r="F614" s="0" t="n">
        <v>3963.02</v>
      </c>
      <c r="G614" s="0" t="n">
        <v>-315226.93</v>
      </c>
      <c r="H614" s="0" t="n">
        <v>-0.9833</v>
      </c>
      <c r="I614" s="0" t="n">
        <v>315226.93</v>
      </c>
    </row>
    <row r="615" customFormat="false" ht="15" hidden="false" customHeight="false" outlineLevel="0" collapsed="false">
      <c r="A615" s="0" t="n">
        <v>614</v>
      </c>
      <c r="B615" s="0" t="n">
        <v>16.93</v>
      </c>
      <c r="C615" s="0" t="n">
        <v>-7.7</v>
      </c>
      <c r="D615" s="0" t="n">
        <v>-9.81</v>
      </c>
      <c r="E615" s="0" t="n">
        <v>-228167.61</v>
      </c>
      <c r="F615" s="0" t="n">
        <v>2025.05</v>
      </c>
      <c r="G615" s="0" t="n">
        <v>-226142.56</v>
      </c>
      <c r="H615" s="0" t="n">
        <v>-0.7054</v>
      </c>
      <c r="I615" s="0" t="n">
        <v>226142.56</v>
      </c>
    </row>
    <row r="616" customFormat="false" ht="15" hidden="false" customHeight="false" outlineLevel="0" collapsed="false">
      <c r="A616" s="0" t="n">
        <v>615</v>
      </c>
      <c r="B616" s="0" t="n">
        <v>43.57</v>
      </c>
      <c r="C616" s="0" t="n">
        <v>-5.78</v>
      </c>
      <c r="D616" s="0" t="n">
        <v>22.65</v>
      </c>
      <c r="E616" s="0" t="n">
        <v>-587108.97</v>
      </c>
      <c r="F616" s="0" t="n">
        <v>13408.03</v>
      </c>
      <c r="G616" s="0" t="n">
        <v>-573700.94</v>
      </c>
      <c r="H616" s="0" t="n">
        <v>-1.7895</v>
      </c>
      <c r="I616" s="0" t="n">
        <v>573700.94</v>
      </c>
    </row>
    <row r="617" customFormat="false" ht="15" hidden="false" customHeight="false" outlineLevel="0" collapsed="false">
      <c r="A617" s="0" t="n">
        <v>616</v>
      </c>
      <c r="B617" s="0" t="n">
        <v>-126.96</v>
      </c>
      <c r="C617" s="0" t="n">
        <v>-2.44</v>
      </c>
      <c r="D617" s="0" t="n">
        <v>-8.88</v>
      </c>
      <c r="E617" s="0" t="n">
        <v>1710796.63</v>
      </c>
      <c r="F617" s="0" t="n">
        <v>113847.74</v>
      </c>
      <c r="G617" s="0" t="n">
        <v>1824644.37</v>
      </c>
      <c r="H617" s="0" t="n">
        <v>5.6915</v>
      </c>
      <c r="I617" s="0" t="n">
        <v>1824644.37</v>
      </c>
    </row>
    <row r="618" customFormat="false" ht="15" hidden="false" customHeight="false" outlineLevel="0" collapsed="false">
      <c r="A618" s="0" t="n">
        <v>617</v>
      </c>
      <c r="B618" s="0" t="n">
        <v>-183.32</v>
      </c>
      <c r="C618" s="0" t="n">
        <v>-7.21</v>
      </c>
      <c r="D618" s="0" t="n">
        <v>-18.57</v>
      </c>
      <c r="E618" s="0" t="n">
        <v>2470274.58</v>
      </c>
      <c r="F618" s="0" t="n">
        <v>237365.77</v>
      </c>
      <c r="G618" s="0" t="n">
        <v>2707640.35</v>
      </c>
      <c r="H618" s="0" t="n">
        <v>8.4457</v>
      </c>
      <c r="I618" s="0" t="n">
        <v>2707640.35</v>
      </c>
    </row>
    <row r="619" customFormat="false" ht="15" hidden="false" customHeight="false" outlineLevel="0" collapsed="false">
      <c r="A619" s="0" t="n">
        <v>618</v>
      </c>
      <c r="B619" s="0" t="n">
        <v>126.01</v>
      </c>
      <c r="C619" s="0" t="n">
        <v>-82.68</v>
      </c>
      <c r="D619" s="0" t="n">
        <v>-49.4</v>
      </c>
      <c r="E619" s="0" t="n">
        <v>-1698021.41</v>
      </c>
      <c r="F619" s="0" t="n">
        <v>112153.79</v>
      </c>
      <c r="G619" s="0" t="n">
        <v>-1585867.62</v>
      </c>
      <c r="H619" s="0" t="n">
        <v>-4.9467</v>
      </c>
      <c r="I619" s="0" t="n">
        <v>1585867.62</v>
      </c>
    </row>
    <row r="620" customFormat="false" ht="15" hidden="false" customHeight="false" outlineLevel="0" collapsed="false">
      <c r="A620" s="0" t="n">
        <v>619</v>
      </c>
      <c r="B620" s="0" t="n">
        <v>-83.53</v>
      </c>
      <c r="C620" s="0" t="n">
        <v>32.37</v>
      </c>
      <c r="D620" s="0" t="n">
        <v>1.57</v>
      </c>
      <c r="E620" s="0" t="n">
        <v>1125551.94</v>
      </c>
      <c r="F620" s="0" t="n">
        <v>49278.64</v>
      </c>
      <c r="G620" s="0" t="n">
        <v>1174830.58</v>
      </c>
      <c r="H620" s="0" t="n">
        <v>3.6645</v>
      </c>
      <c r="I620" s="0" t="n">
        <v>1174830.58</v>
      </c>
    </row>
    <row r="621" customFormat="false" ht="15" hidden="false" customHeight="false" outlineLevel="0" collapsed="false">
      <c r="A621" s="0" t="n">
        <v>620</v>
      </c>
      <c r="B621" s="0" t="n">
        <v>47.02</v>
      </c>
      <c r="C621" s="0" t="n">
        <v>-3.87</v>
      </c>
      <c r="D621" s="0" t="n">
        <v>4.67</v>
      </c>
      <c r="E621" s="0" t="n">
        <v>-633636.77</v>
      </c>
      <c r="F621" s="0" t="n">
        <v>15617.39</v>
      </c>
      <c r="G621" s="0" t="n">
        <v>-618019.38</v>
      </c>
      <c r="H621" s="0" t="n">
        <v>-1.9277</v>
      </c>
      <c r="I621" s="0" t="n">
        <v>618019.38</v>
      </c>
    </row>
    <row r="622" customFormat="false" ht="15" hidden="false" customHeight="false" outlineLevel="0" collapsed="false">
      <c r="A622" s="0" t="n">
        <v>621</v>
      </c>
      <c r="B622" s="0" t="n">
        <v>-8.81</v>
      </c>
      <c r="C622" s="0" t="n">
        <v>-6.39</v>
      </c>
      <c r="D622" s="0" t="n">
        <v>4.9</v>
      </c>
      <c r="E622" s="0" t="n">
        <v>118691.89</v>
      </c>
      <c r="F622" s="0" t="n">
        <v>547.99</v>
      </c>
      <c r="G622" s="0" t="n">
        <v>119239.88</v>
      </c>
      <c r="H622" s="0" t="n">
        <v>0.3719</v>
      </c>
      <c r="I622" s="0" t="n">
        <v>119239.88</v>
      </c>
    </row>
    <row r="623" customFormat="false" ht="15" hidden="false" customHeight="false" outlineLevel="0" collapsed="false">
      <c r="A623" s="0" t="n">
        <v>622</v>
      </c>
      <c r="B623" s="0" t="n">
        <v>68.59</v>
      </c>
      <c r="C623" s="0" t="n">
        <v>-22.08</v>
      </c>
      <c r="D623" s="0" t="n">
        <v>-20.3</v>
      </c>
      <c r="E623" s="0" t="n">
        <v>-924242.95</v>
      </c>
      <c r="F623" s="0" t="n">
        <v>33227.67</v>
      </c>
      <c r="G623" s="0" t="n">
        <v>-891015.28</v>
      </c>
      <c r="H623" s="0" t="n">
        <v>-2.7793</v>
      </c>
      <c r="I623" s="0" t="n">
        <v>891015.28</v>
      </c>
    </row>
    <row r="624" customFormat="false" ht="15" hidden="false" customHeight="false" outlineLevel="0" collapsed="false">
      <c r="A624" s="0" t="n">
        <v>623</v>
      </c>
      <c r="B624" s="0" t="n">
        <v>-21.34</v>
      </c>
      <c r="C624" s="0" t="n">
        <v>-10.53</v>
      </c>
      <c r="D624" s="0" t="n">
        <v>23.22</v>
      </c>
      <c r="E624" s="0" t="n">
        <v>287586.42</v>
      </c>
      <c r="F624" s="0" t="n">
        <v>3217.1</v>
      </c>
      <c r="G624" s="0" t="n">
        <v>290803.52</v>
      </c>
      <c r="H624" s="0" t="n">
        <v>0.9071</v>
      </c>
      <c r="I624" s="0" t="n">
        <v>290803.52</v>
      </c>
    </row>
    <row r="625" customFormat="false" ht="15" hidden="false" customHeight="false" outlineLevel="0" collapsed="false">
      <c r="A625" s="0" t="n">
        <v>624</v>
      </c>
      <c r="B625" s="0" t="n">
        <v>-67.83</v>
      </c>
      <c r="C625" s="0" t="n">
        <v>6.47</v>
      </c>
      <c r="D625" s="0" t="n">
        <v>-35.09</v>
      </c>
      <c r="E625" s="0" t="n">
        <v>914010.34</v>
      </c>
      <c r="F625" s="0" t="n">
        <v>32496</v>
      </c>
      <c r="G625" s="0" t="n">
        <v>946506.33</v>
      </c>
      <c r="H625" s="0" t="n">
        <v>2.9524</v>
      </c>
      <c r="I625" s="0" t="n">
        <v>946506.33</v>
      </c>
    </row>
    <row r="626" customFormat="false" ht="15" hidden="false" customHeight="false" outlineLevel="0" collapsed="false">
      <c r="A626" s="0" t="n">
        <v>625</v>
      </c>
      <c r="B626" s="0" t="n">
        <v>157.62</v>
      </c>
      <c r="C626" s="0" t="n">
        <v>-4.72</v>
      </c>
      <c r="D626" s="0" t="n">
        <v>17.38</v>
      </c>
      <c r="E626" s="0" t="n">
        <v>-2123903.88</v>
      </c>
      <c r="F626" s="0" t="n">
        <v>175467.77</v>
      </c>
      <c r="G626" s="0" t="n">
        <v>-1948436.12</v>
      </c>
      <c r="H626" s="0" t="n">
        <v>-6.0776</v>
      </c>
      <c r="I626" s="0" t="n">
        <v>1948436.12</v>
      </c>
    </row>
    <row r="627" customFormat="false" ht="15" hidden="false" customHeight="false" outlineLevel="0" collapsed="false">
      <c r="A627" s="0" t="n">
        <v>626</v>
      </c>
      <c r="B627" s="0" t="n">
        <v>-218.45</v>
      </c>
      <c r="C627" s="0" t="n">
        <v>-34.55</v>
      </c>
      <c r="D627" s="0" t="n">
        <v>-9.63</v>
      </c>
      <c r="E627" s="0" t="n">
        <v>2943649.32</v>
      </c>
      <c r="F627" s="0" t="n">
        <v>337054.22</v>
      </c>
      <c r="G627" s="0" t="n">
        <v>3280703.55</v>
      </c>
      <c r="H627" s="0" t="n">
        <v>10.2332</v>
      </c>
      <c r="I627" s="0" t="n">
        <v>3280703.55</v>
      </c>
    </row>
    <row r="628" customFormat="false" ht="15" hidden="false" customHeight="false" outlineLevel="0" collapsed="false">
      <c r="A628" s="0" t="n">
        <v>627</v>
      </c>
      <c r="B628" s="0" t="n">
        <v>73.32</v>
      </c>
      <c r="C628" s="0" t="n">
        <v>24.83</v>
      </c>
      <c r="D628" s="0" t="n">
        <v>-20.25</v>
      </c>
      <c r="E628" s="0" t="n">
        <v>-987993.67</v>
      </c>
      <c r="F628" s="0" t="n">
        <v>37969.59</v>
      </c>
      <c r="G628" s="0" t="n">
        <v>-950024.08</v>
      </c>
      <c r="H628" s="0" t="n">
        <v>-2.9633</v>
      </c>
      <c r="I628" s="0" t="n">
        <v>950024.08</v>
      </c>
    </row>
    <row r="629" customFormat="false" ht="15" hidden="false" customHeight="false" outlineLevel="0" collapsed="false">
      <c r="A629" s="0" t="n">
        <v>628</v>
      </c>
      <c r="B629" s="0" t="n">
        <v>-72.68</v>
      </c>
      <c r="C629" s="0" t="n">
        <v>76.43</v>
      </c>
      <c r="D629" s="0" t="n">
        <v>-23.53</v>
      </c>
      <c r="E629" s="0" t="n">
        <v>979349.78</v>
      </c>
      <c r="F629" s="0" t="n">
        <v>37308.11</v>
      </c>
      <c r="G629" s="0" t="n">
        <v>1016657.9</v>
      </c>
      <c r="H629" s="0" t="n">
        <v>3.1712</v>
      </c>
      <c r="I629" s="0" t="n">
        <v>1016657.9</v>
      </c>
    </row>
    <row r="630" customFormat="false" ht="15" hidden="false" customHeight="false" outlineLevel="0" collapsed="false">
      <c r="A630" s="0" t="n">
        <v>629</v>
      </c>
      <c r="B630" s="0" t="n">
        <v>41.66</v>
      </c>
      <c r="C630" s="0" t="n">
        <v>23.02</v>
      </c>
      <c r="D630" s="0" t="n">
        <v>3.37</v>
      </c>
      <c r="E630" s="0" t="n">
        <v>-561424.97</v>
      </c>
      <c r="F630" s="0" t="n">
        <v>12260.58</v>
      </c>
      <c r="G630" s="0" t="n">
        <v>-549164.39</v>
      </c>
      <c r="H630" s="0" t="n">
        <v>-1.713</v>
      </c>
      <c r="I630" s="0" t="n">
        <v>549164.39</v>
      </c>
    </row>
    <row r="631" customFormat="false" ht="15" hidden="false" customHeight="false" outlineLevel="0" collapsed="false">
      <c r="A631" s="0" t="n">
        <v>630</v>
      </c>
      <c r="B631" s="0" t="n">
        <v>-152.14</v>
      </c>
      <c r="C631" s="0" t="n">
        <v>73.38</v>
      </c>
      <c r="D631" s="0" t="n">
        <v>-6.12</v>
      </c>
      <c r="E631" s="0" t="n">
        <v>2050017.02</v>
      </c>
      <c r="F631" s="0" t="n">
        <v>163471.7</v>
      </c>
      <c r="G631" s="0" t="n">
        <v>2213488.72</v>
      </c>
      <c r="H631" s="0" t="n">
        <v>6.9043</v>
      </c>
      <c r="I631" s="0" t="n">
        <v>2213488.72</v>
      </c>
    </row>
    <row r="632" customFormat="false" ht="15" hidden="false" customHeight="false" outlineLevel="0" collapsed="false">
      <c r="A632" s="0" t="n">
        <v>631</v>
      </c>
      <c r="B632" s="0" t="n">
        <v>17.2</v>
      </c>
      <c r="C632" s="0" t="n">
        <v>3.88</v>
      </c>
      <c r="D632" s="0" t="n">
        <v>27.88</v>
      </c>
      <c r="E632" s="0" t="n">
        <v>-231752.56</v>
      </c>
      <c r="F632" s="0" t="n">
        <v>2089.18</v>
      </c>
      <c r="G632" s="0" t="n">
        <v>-229663.37</v>
      </c>
      <c r="H632" s="0" t="n">
        <v>-0.7164</v>
      </c>
      <c r="I632" s="0" t="n">
        <v>229663.37</v>
      </c>
    </row>
    <row r="633" customFormat="false" ht="15" hidden="false" customHeight="false" outlineLevel="0" collapsed="false">
      <c r="A633" s="0" t="n">
        <v>632</v>
      </c>
      <c r="B633" s="0" t="n">
        <v>-57.27</v>
      </c>
      <c r="C633" s="0" t="n">
        <v>-82.08</v>
      </c>
      <c r="D633" s="0" t="n">
        <v>-3.42</v>
      </c>
      <c r="E633" s="0" t="n">
        <v>771723.13</v>
      </c>
      <c r="F633" s="0" t="n">
        <v>23165.98</v>
      </c>
      <c r="G633" s="0" t="n">
        <v>794889.11</v>
      </c>
      <c r="H633" s="0" t="n">
        <v>2.4794</v>
      </c>
      <c r="I633" s="0" t="n">
        <v>794889.11</v>
      </c>
    </row>
    <row r="634" customFormat="false" ht="15" hidden="false" customHeight="false" outlineLevel="0" collapsed="false">
      <c r="A634" s="0" t="n">
        <v>633</v>
      </c>
      <c r="B634" s="0" t="n">
        <v>-156.14</v>
      </c>
      <c r="C634" s="0" t="n">
        <v>-1.68</v>
      </c>
      <c r="D634" s="0" t="n">
        <v>6.19</v>
      </c>
      <c r="E634" s="0" t="n">
        <v>2103959.48</v>
      </c>
      <c r="F634" s="0" t="n">
        <v>172187.8</v>
      </c>
      <c r="G634" s="0" t="n">
        <v>2276147.28</v>
      </c>
      <c r="H634" s="0" t="n">
        <v>7.0998</v>
      </c>
      <c r="I634" s="0" t="n">
        <v>2276147.28</v>
      </c>
    </row>
    <row r="635" customFormat="false" ht="15" hidden="false" customHeight="false" outlineLevel="0" collapsed="false">
      <c r="A635" s="0" t="n">
        <v>634</v>
      </c>
      <c r="B635" s="0" t="n">
        <v>1.73</v>
      </c>
      <c r="C635" s="0" t="n">
        <v>1.44</v>
      </c>
      <c r="D635" s="0" t="n">
        <v>-15.42</v>
      </c>
      <c r="E635" s="0" t="n">
        <v>-23276.95</v>
      </c>
      <c r="F635" s="0" t="n">
        <v>21.08</v>
      </c>
      <c r="G635" s="0" t="n">
        <v>-23255.88</v>
      </c>
      <c r="H635" s="0" t="n">
        <v>-0.0725</v>
      </c>
      <c r="I635" s="0" t="n">
        <v>23255.88</v>
      </c>
    </row>
    <row r="636" customFormat="false" ht="15" hidden="false" customHeight="false" outlineLevel="0" collapsed="false">
      <c r="A636" s="0" t="n">
        <v>635</v>
      </c>
      <c r="B636" s="0" t="n">
        <v>9.03</v>
      </c>
      <c r="C636" s="0" t="n">
        <v>52.7</v>
      </c>
      <c r="D636" s="0" t="n">
        <v>0.49</v>
      </c>
      <c r="E636" s="0" t="n">
        <v>-121687.15</v>
      </c>
      <c r="F636" s="0" t="n">
        <v>575.99</v>
      </c>
      <c r="G636" s="0" t="n">
        <v>-121111.16</v>
      </c>
      <c r="H636" s="0" t="n">
        <v>-0.3778</v>
      </c>
      <c r="I636" s="0" t="n">
        <v>121111.16</v>
      </c>
    </row>
    <row r="637" customFormat="false" ht="15" hidden="false" customHeight="false" outlineLevel="0" collapsed="false">
      <c r="A637" s="0" t="n">
        <v>636</v>
      </c>
      <c r="B637" s="0" t="n">
        <v>40.64</v>
      </c>
      <c r="C637" s="0" t="n">
        <v>38.15</v>
      </c>
      <c r="D637" s="0" t="n">
        <v>26.82</v>
      </c>
      <c r="E637" s="0" t="n">
        <v>-547628.94</v>
      </c>
      <c r="F637" s="0" t="n">
        <v>11665.42</v>
      </c>
      <c r="G637" s="0" t="n">
        <v>-535963.52</v>
      </c>
      <c r="H637" s="0" t="n">
        <v>-1.6718</v>
      </c>
      <c r="I637" s="0" t="n">
        <v>535963.52</v>
      </c>
    </row>
    <row r="638" customFormat="false" ht="15" hidden="false" customHeight="false" outlineLevel="0" collapsed="false">
      <c r="A638" s="0" t="n">
        <v>637</v>
      </c>
      <c r="B638" s="0" t="n">
        <v>28.83</v>
      </c>
      <c r="C638" s="0" t="n">
        <v>46.35</v>
      </c>
      <c r="D638" s="0" t="n">
        <v>-13.88</v>
      </c>
      <c r="E638" s="0" t="n">
        <v>-388471.82</v>
      </c>
      <c r="F638" s="0" t="n">
        <v>5870.12</v>
      </c>
      <c r="G638" s="0" t="n">
        <v>-382601.71</v>
      </c>
      <c r="H638" s="0" t="n">
        <v>-1.1934</v>
      </c>
      <c r="I638" s="0" t="n">
        <v>382601.71</v>
      </c>
    </row>
    <row r="639" customFormat="false" ht="15" hidden="false" customHeight="false" outlineLevel="0" collapsed="false">
      <c r="A639" s="0" t="n">
        <v>638</v>
      </c>
      <c r="B639" s="0" t="n">
        <v>-57.42</v>
      </c>
      <c r="C639" s="0" t="n">
        <v>-23.1</v>
      </c>
      <c r="D639" s="0" t="n">
        <v>-88.62</v>
      </c>
      <c r="E639" s="0" t="n">
        <v>773685.5</v>
      </c>
      <c r="F639" s="0" t="n">
        <v>23283.94</v>
      </c>
      <c r="G639" s="0" t="n">
        <v>796969.45</v>
      </c>
      <c r="H639" s="0" t="n">
        <v>2.4859</v>
      </c>
      <c r="I639" s="0" t="n">
        <v>796969.45</v>
      </c>
    </row>
    <row r="640" customFormat="false" ht="15" hidden="false" customHeight="false" outlineLevel="0" collapsed="false">
      <c r="A640" s="0" t="n">
        <v>639</v>
      </c>
      <c r="B640" s="0" t="n">
        <v>-192.18</v>
      </c>
      <c r="C640" s="0" t="n">
        <v>35.47</v>
      </c>
      <c r="D640" s="0" t="n">
        <v>17.43</v>
      </c>
      <c r="E640" s="0" t="n">
        <v>2589649.64</v>
      </c>
      <c r="F640" s="0" t="n">
        <v>260861.3</v>
      </c>
      <c r="G640" s="0" t="n">
        <v>2850510.94</v>
      </c>
      <c r="H640" s="0" t="n">
        <v>8.8914</v>
      </c>
      <c r="I640" s="0" t="n">
        <v>2850510.94</v>
      </c>
    </row>
    <row r="641" customFormat="false" ht="15" hidden="false" customHeight="false" outlineLevel="0" collapsed="false">
      <c r="A641" s="0" t="n">
        <v>640</v>
      </c>
      <c r="B641" s="0" t="n">
        <v>65.3</v>
      </c>
      <c r="C641" s="0" t="n">
        <v>3.27</v>
      </c>
      <c r="D641" s="0" t="n">
        <v>-8.3</v>
      </c>
      <c r="E641" s="0" t="n">
        <v>-879946.61</v>
      </c>
      <c r="F641" s="0" t="n">
        <v>30118.98</v>
      </c>
      <c r="G641" s="0" t="n">
        <v>-849827.63</v>
      </c>
      <c r="H641" s="0" t="n">
        <v>-2.6508</v>
      </c>
      <c r="I641" s="0" t="n">
        <v>849827.63</v>
      </c>
    </row>
    <row r="642" customFormat="false" ht="15" hidden="false" customHeight="false" outlineLevel="0" collapsed="false">
      <c r="A642" s="0" t="n">
        <v>641</v>
      </c>
      <c r="B642" s="0" t="n">
        <v>26.87</v>
      </c>
      <c r="C642" s="0" t="n">
        <v>-49.99</v>
      </c>
      <c r="D642" s="0" t="n">
        <v>19.19</v>
      </c>
      <c r="E642" s="0" t="n">
        <v>-362039.27</v>
      </c>
      <c r="F642" s="0" t="n">
        <v>5098.46</v>
      </c>
      <c r="G642" s="0" t="n">
        <v>-356940.81</v>
      </c>
      <c r="H642" s="0" t="n">
        <v>-1.1134</v>
      </c>
      <c r="I642" s="0" t="n">
        <v>356940.81</v>
      </c>
    </row>
    <row r="643" customFormat="false" ht="15" hidden="false" customHeight="false" outlineLevel="0" collapsed="false">
      <c r="A643" s="0" t="n">
        <v>642</v>
      </c>
      <c r="B643" s="0" t="n">
        <v>-153.87</v>
      </c>
      <c r="C643" s="0" t="n">
        <v>10.68</v>
      </c>
      <c r="D643" s="0" t="n">
        <v>48.32</v>
      </c>
      <c r="E643" s="0" t="n">
        <v>2073444.9</v>
      </c>
      <c r="F643" s="0" t="n">
        <v>167229.4</v>
      </c>
      <c r="G643" s="0" t="n">
        <v>2240674.3</v>
      </c>
      <c r="H643" s="0" t="n">
        <v>6.9891</v>
      </c>
      <c r="I643" s="0" t="n">
        <v>2240674.3</v>
      </c>
    </row>
    <row r="644" customFormat="false" ht="15" hidden="false" customHeight="false" outlineLevel="0" collapsed="false">
      <c r="A644" s="0" t="n">
        <v>643</v>
      </c>
      <c r="B644" s="0" t="n">
        <v>-37.35</v>
      </c>
      <c r="C644" s="0" t="n">
        <v>28.34</v>
      </c>
      <c r="D644" s="0" t="n">
        <v>63.21</v>
      </c>
      <c r="E644" s="0" t="n">
        <v>503339.57</v>
      </c>
      <c r="F644" s="0" t="n">
        <v>9854.84</v>
      </c>
      <c r="G644" s="0" t="n">
        <v>513194.42</v>
      </c>
      <c r="H644" s="0" t="n">
        <v>1.6008</v>
      </c>
      <c r="I644" s="0" t="n">
        <v>513194.42</v>
      </c>
    </row>
    <row r="645" customFormat="false" ht="15" hidden="false" customHeight="false" outlineLevel="0" collapsed="false">
      <c r="A645" s="0" t="n">
        <v>644</v>
      </c>
      <c r="B645" s="0" t="n">
        <v>74.48</v>
      </c>
      <c r="C645" s="0" t="n">
        <v>89.67</v>
      </c>
      <c r="D645" s="0" t="n">
        <v>-3.94</v>
      </c>
      <c r="E645" s="0" t="n">
        <v>-1003558.2</v>
      </c>
      <c r="F645" s="0" t="n">
        <v>39175.34</v>
      </c>
      <c r="G645" s="0" t="n">
        <v>-964382.86</v>
      </c>
      <c r="H645" s="0" t="n">
        <v>-3.0081</v>
      </c>
      <c r="I645" s="0" t="n">
        <v>964382.86</v>
      </c>
    </row>
    <row r="646" customFormat="false" ht="15" hidden="false" customHeight="false" outlineLevel="0" collapsed="false">
      <c r="A646" s="0" t="n">
        <v>645</v>
      </c>
      <c r="B646" s="0" t="n">
        <v>-23.49</v>
      </c>
      <c r="C646" s="0" t="n">
        <v>-33.47</v>
      </c>
      <c r="D646" s="0" t="n">
        <v>25.38</v>
      </c>
      <c r="E646" s="0" t="n">
        <v>316556.11</v>
      </c>
      <c r="F646" s="0" t="n">
        <v>3897.88</v>
      </c>
      <c r="G646" s="0" t="n">
        <v>320453.99</v>
      </c>
      <c r="H646" s="0" t="n">
        <v>0.9996</v>
      </c>
      <c r="I646" s="0" t="n">
        <v>320453.99</v>
      </c>
    </row>
    <row r="647" customFormat="false" ht="15" hidden="false" customHeight="false" outlineLevel="0" collapsed="false">
      <c r="A647" s="0" t="n">
        <v>646</v>
      </c>
      <c r="B647" s="0" t="n">
        <v>-87.08</v>
      </c>
      <c r="C647" s="0" t="n">
        <v>28.58</v>
      </c>
      <c r="D647" s="0" t="n">
        <v>38.66</v>
      </c>
      <c r="E647" s="0" t="n">
        <v>1173394.83</v>
      </c>
      <c r="F647" s="0" t="n">
        <v>53556.97</v>
      </c>
      <c r="G647" s="0" t="n">
        <v>1226951.8</v>
      </c>
      <c r="H647" s="0" t="n">
        <v>3.8271</v>
      </c>
      <c r="I647" s="0" t="n">
        <v>1226951.8</v>
      </c>
    </row>
    <row r="648" customFormat="false" ht="15" hidden="false" customHeight="false" outlineLevel="0" collapsed="false">
      <c r="A648" s="0" t="n">
        <v>647</v>
      </c>
      <c r="B648" s="0" t="n">
        <v>106.87</v>
      </c>
      <c r="C648" s="0" t="n">
        <v>22.97</v>
      </c>
      <c r="D648" s="0" t="n">
        <v>9.4</v>
      </c>
      <c r="E648" s="0" t="n">
        <v>-1440046.09</v>
      </c>
      <c r="F648" s="0" t="n">
        <v>80664.12</v>
      </c>
      <c r="G648" s="0" t="n">
        <v>-1359381.97</v>
      </c>
      <c r="H648" s="0" t="n">
        <v>-4.2402</v>
      </c>
      <c r="I648" s="0" t="n">
        <v>1359381.97</v>
      </c>
    </row>
    <row r="649" customFormat="false" ht="15" hidden="false" customHeight="false" outlineLevel="0" collapsed="false">
      <c r="A649" s="0" t="n">
        <v>648</v>
      </c>
      <c r="B649" s="0" t="n">
        <v>-9.39</v>
      </c>
      <c r="C649" s="0" t="n">
        <v>117.86</v>
      </c>
      <c r="D649" s="0" t="n">
        <v>-3.55</v>
      </c>
      <c r="E649" s="0" t="n">
        <v>126545.18</v>
      </c>
      <c r="F649" s="0" t="n">
        <v>622.9</v>
      </c>
      <c r="G649" s="0" t="n">
        <v>127168.08</v>
      </c>
      <c r="H649" s="0" t="n">
        <v>0.3967</v>
      </c>
      <c r="I649" s="0" t="n">
        <v>127168.08</v>
      </c>
    </row>
    <row r="650" customFormat="false" ht="15" hidden="false" customHeight="false" outlineLevel="0" collapsed="false">
      <c r="A650" s="0" t="n">
        <v>649</v>
      </c>
      <c r="B650" s="0" t="n">
        <v>43.52</v>
      </c>
      <c r="C650" s="0" t="n">
        <v>21.92</v>
      </c>
      <c r="D650" s="0" t="n">
        <v>-50.93</v>
      </c>
      <c r="E650" s="0" t="n">
        <v>-586467.87</v>
      </c>
      <c r="F650" s="0" t="n">
        <v>13378.77</v>
      </c>
      <c r="G650" s="0" t="n">
        <v>-573089.1</v>
      </c>
      <c r="H650" s="0" t="n">
        <v>-1.7876</v>
      </c>
      <c r="I650" s="0" t="n">
        <v>573089.1</v>
      </c>
    </row>
    <row r="651" customFormat="false" ht="15" hidden="false" customHeight="false" outlineLevel="0" collapsed="false">
      <c r="A651" s="0" t="n">
        <v>650</v>
      </c>
      <c r="B651" s="0" t="n">
        <v>-53.81</v>
      </c>
      <c r="C651" s="0" t="n">
        <v>16.83</v>
      </c>
      <c r="D651" s="0" t="n">
        <v>34.24</v>
      </c>
      <c r="E651" s="0" t="n">
        <v>725031.77</v>
      </c>
      <c r="F651" s="0" t="n">
        <v>20447.57</v>
      </c>
      <c r="G651" s="0" t="n">
        <v>745479.34</v>
      </c>
      <c r="H651" s="0" t="n">
        <v>2.3253</v>
      </c>
      <c r="I651" s="0" t="n">
        <v>745479.34</v>
      </c>
    </row>
    <row r="652" customFormat="false" ht="15" hidden="false" customHeight="false" outlineLevel="0" collapsed="false">
      <c r="A652" s="0" t="n">
        <v>651</v>
      </c>
      <c r="B652" s="0" t="n">
        <v>-100.36</v>
      </c>
      <c r="C652" s="0" t="n">
        <v>25.08</v>
      </c>
      <c r="D652" s="0" t="n">
        <v>10.22</v>
      </c>
      <c r="E652" s="0" t="n">
        <v>1352336.6</v>
      </c>
      <c r="F652" s="0" t="n">
        <v>71137.28</v>
      </c>
      <c r="G652" s="0" t="n">
        <v>1423473.87</v>
      </c>
      <c r="H652" s="0" t="n">
        <v>4.4401</v>
      </c>
      <c r="I652" s="0" t="n">
        <v>1423473.87</v>
      </c>
    </row>
    <row r="653" customFormat="false" ht="15" hidden="false" customHeight="false" outlineLevel="0" collapsed="false">
      <c r="A653" s="0" t="n">
        <v>652</v>
      </c>
      <c r="B653" s="0" t="n">
        <v>56.92</v>
      </c>
      <c r="C653" s="0" t="n">
        <v>-60.6</v>
      </c>
      <c r="D653" s="0" t="n">
        <v>18.81</v>
      </c>
      <c r="E653" s="0" t="n">
        <v>-767059.27</v>
      </c>
      <c r="F653" s="0" t="n">
        <v>22886.82</v>
      </c>
      <c r="G653" s="0" t="n">
        <v>-744172.44</v>
      </c>
      <c r="H653" s="0" t="n">
        <v>-2.3212</v>
      </c>
      <c r="I653" s="0" t="n">
        <v>744172.44</v>
      </c>
    </row>
    <row r="654" customFormat="false" ht="15" hidden="false" customHeight="false" outlineLevel="0" collapsed="false">
      <c r="A654" s="0" t="n">
        <v>653</v>
      </c>
      <c r="B654" s="0" t="n">
        <v>-42.92</v>
      </c>
      <c r="C654" s="0" t="n">
        <v>61.92</v>
      </c>
      <c r="D654" s="0" t="n">
        <v>19.71</v>
      </c>
      <c r="E654" s="0" t="n">
        <v>578410.52</v>
      </c>
      <c r="F654" s="0" t="n">
        <v>13013.68</v>
      </c>
      <c r="G654" s="0" t="n">
        <v>591424.19</v>
      </c>
      <c r="H654" s="0" t="n">
        <v>1.8448</v>
      </c>
      <c r="I654" s="0" t="n">
        <v>591424.19</v>
      </c>
    </row>
    <row r="655" customFormat="false" ht="15" hidden="false" customHeight="false" outlineLevel="0" collapsed="false">
      <c r="A655" s="0" t="n">
        <v>654</v>
      </c>
      <c r="B655" s="0" t="n">
        <v>-13.51</v>
      </c>
      <c r="C655" s="0" t="n">
        <v>37.18</v>
      </c>
      <c r="D655" s="0" t="n">
        <v>-26.14</v>
      </c>
      <c r="E655" s="0" t="n">
        <v>182007.13</v>
      </c>
      <c r="F655" s="0" t="n">
        <v>1288.56</v>
      </c>
      <c r="G655" s="0" t="n">
        <v>183295.69</v>
      </c>
      <c r="H655" s="0" t="n">
        <v>0.5717</v>
      </c>
      <c r="I655" s="0" t="n">
        <v>183295.69</v>
      </c>
    </row>
    <row r="656" customFormat="false" ht="15" hidden="false" customHeight="false" outlineLevel="0" collapsed="false">
      <c r="A656" s="0" t="n">
        <v>655</v>
      </c>
      <c r="B656" s="0" t="n">
        <v>89.97</v>
      </c>
      <c r="C656" s="0" t="n">
        <v>-14.3</v>
      </c>
      <c r="D656" s="0" t="n">
        <v>-24.33</v>
      </c>
      <c r="E656" s="0" t="n">
        <v>-1212346.3</v>
      </c>
      <c r="F656" s="0" t="n">
        <v>57171.69</v>
      </c>
      <c r="G656" s="0" t="n">
        <v>-1155174.62</v>
      </c>
      <c r="H656" s="0" t="n">
        <v>-3.6032</v>
      </c>
      <c r="I656" s="0" t="n">
        <v>1155174.62</v>
      </c>
    </row>
    <row r="657" customFormat="false" ht="15" hidden="false" customHeight="false" outlineLevel="0" collapsed="false">
      <c r="A657" s="0" t="n">
        <v>656</v>
      </c>
      <c r="B657" s="0" t="n">
        <v>78.39</v>
      </c>
      <c r="C657" s="0" t="n">
        <v>-60.63</v>
      </c>
      <c r="D657" s="0" t="n">
        <v>19.2</v>
      </c>
      <c r="E657" s="0" t="n">
        <v>-1056305.69</v>
      </c>
      <c r="F657" s="0" t="n">
        <v>43401.71</v>
      </c>
      <c r="G657" s="0" t="n">
        <v>-1012903.98</v>
      </c>
      <c r="H657" s="0" t="n">
        <v>-3.1595</v>
      </c>
      <c r="I657" s="0" t="n">
        <v>1012903.98</v>
      </c>
    </row>
    <row r="658" customFormat="false" ht="15" hidden="false" customHeight="false" outlineLevel="0" collapsed="false">
      <c r="A658" s="0" t="n">
        <v>657</v>
      </c>
      <c r="B658" s="0" t="n">
        <v>-53.2</v>
      </c>
      <c r="C658" s="0" t="n">
        <v>11.82</v>
      </c>
      <c r="D658" s="0" t="n">
        <v>32.97</v>
      </c>
      <c r="E658" s="0" t="n">
        <v>716840.82</v>
      </c>
      <c r="F658" s="0" t="n">
        <v>19988.17</v>
      </c>
      <c r="G658" s="0" t="n">
        <v>736828.99</v>
      </c>
      <c r="H658" s="0" t="n">
        <v>2.2983</v>
      </c>
      <c r="I658" s="0" t="n">
        <v>736828.99</v>
      </c>
    </row>
    <row r="659" customFormat="false" ht="15" hidden="false" customHeight="false" outlineLevel="0" collapsed="false">
      <c r="A659" s="0" t="n">
        <v>658</v>
      </c>
      <c r="B659" s="0" t="n">
        <v>-32.86</v>
      </c>
      <c r="C659" s="0" t="n">
        <v>3.95</v>
      </c>
      <c r="D659" s="0" t="n">
        <v>-31.59</v>
      </c>
      <c r="E659" s="0" t="n">
        <v>442768.34</v>
      </c>
      <c r="F659" s="0" t="n">
        <v>7625.72</v>
      </c>
      <c r="G659" s="0" t="n">
        <v>450394.06</v>
      </c>
      <c r="H659" s="0" t="n">
        <v>1.4049</v>
      </c>
      <c r="I659" s="0" t="n">
        <v>450394.06</v>
      </c>
    </row>
    <row r="660" customFormat="false" ht="15" hidden="false" customHeight="false" outlineLevel="0" collapsed="false">
      <c r="A660" s="0" t="n">
        <v>659</v>
      </c>
      <c r="B660" s="0" t="n">
        <v>188.59</v>
      </c>
      <c r="C660" s="0" t="n">
        <v>54.36</v>
      </c>
      <c r="D660" s="0" t="n">
        <v>-11.56</v>
      </c>
      <c r="E660" s="0" t="n">
        <v>-2541233.41</v>
      </c>
      <c r="F660" s="0" t="n">
        <v>251198.33</v>
      </c>
      <c r="G660" s="0" t="n">
        <v>-2290035.08</v>
      </c>
      <c r="H660" s="0" t="n">
        <v>-7.1431</v>
      </c>
      <c r="I660" s="0" t="n">
        <v>2290035.08</v>
      </c>
    </row>
    <row r="661" customFormat="false" ht="15" hidden="false" customHeight="false" outlineLevel="0" collapsed="false">
      <c r="A661" s="0" t="n">
        <v>660</v>
      </c>
      <c r="B661" s="0" t="n">
        <v>118</v>
      </c>
      <c r="C661" s="0" t="n">
        <v>-29.38</v>
      </c>
      <c r="D661" s="0" t="n">
        <v>-6.08</v>
      </c>
      <c r="E661" s="0" t="n">
        <v>-1590072.01</v>
      </c>
      <c r="F661" s="0" t="n">
        <v>98347.02</v>
      </c>
      <c r="G661" s="0" t="n">
        <v>-1491724.99</v>
      </c>
      <c r="H661" s="0" t="n">
        <v>-4.653</v>
      </c>
      <c r="I661" s="0" t="n">
        <v>1491724.99</v>
      </c>
    </row>
    <row r="662" customFormat="false" ht="15" hidden="false" customHeight="false" outlineLevel="0" collapsed="false">
      <c r="A662" s="0" t="n">
        <v>661</v>
      </c>
      <c r="B662" s="0" t="n">
        <v>-62.45</v>
      </c>
      <c r="C662" s="0" t="n">
        <v>29.16</v>
      </c>
      <c r="D662" s="0" t="n">
        <v>-7.99</v>
      </c>
      <c r="E662" s="0" t="n">
        <v>841561.64</v>
      </c>
      <c r="F662" s="0" t="n">
        <v>27548.6</v>
      </c>
      <c r="G662" s="0" t="n">
        <v>869110.24</v>
      </c>
      <c r="H662" s="0" t="n">
        <v>2.7109</v>
      </c>
      <c r="I662" s="0" t="n">
        <v>869110.24</v>
      </c>
    </row>
    <row r="663" customFormat="false" ht="15" hidden="false" customHeight="false" outlineLevel="0" collapsed="false">
      <c r="A663" s="0" t="n">
        <v>662</v>
      </c>
      <c r="B663" s="0" t="n">
        <v>125.73</v>
      </c>
      <c r="C663" s="0" t="n">
        <v>-44.69</v>
      </c>
      <c r="D663" s="0" t="n">
        <v>3.24</v>
      </c>
      <c r="E663" s="0" t="n">
        <v>-1694192.25</v>
      </c>
      <c r="F663" s="0" t="n">
        <v>111648.53</v>
      </c>
      <c r="G663" s="0" t="n">
        <v>-1582543.72</v>
      </c>
      <c r="H663" s="0" t="n">
        <v>-4.9363</v>
      </c>
      <c r="I663" s="0" t="n">
        <v>1582543.72</v>
      </c>
    </row>
    <row r="664" customFormat="false" ht="15" hidden="false" customHeight="false" outlineLevel="0" collapsed="false">
      <c r="A664" s="0" t="n">
        <v>663</v>
      </c>
      <c r="B664" s="0" t="n">
        <v>-14.45</v>
      </c>
      <c r="C664" s="0" t="n">
        <v>-32.2</v>
      </c>
      <c r="D664" s="0" t="n">
        <v>2.37</v>
      </c>
      <c r="E664" s="0" t="n">
        <v>194751.3</v>
      </c>
      <c r="F664" s="0" t="n">
        <v>1475.33</v>
      </c>
      <c r="G664" s="0" t="n">
        <v>196226.62</v>
      </c>
      <c r="H664" s="0" t="n">
        <v>0.6121</v>
      </c>
      <c r="I664" s="0" t="n">
        <v>196226.62</v>
      </c>
    </row>
    <row r="665" customFormat="false" ht="15" hidden="false" customHeight="false" outlineLevel="0" collapsed="false">
      <c r="A665" s="0" t="n">
        <v>664</v>
      </c>
      <c r="B665" s="0" t="n">
        <v>-4.6</v>
      </c>
      <c r="C665" s="0" t="n">
        <v>52.25</v>
      </c>
      <c r="D665" s="0" t="n">
        <v>-37.1</v>
      </c>
      <c r="E665" s="0" t="n">
        <v>62029.97</v>
      </c>
      <c r="F665" s="0" t="n">
        <v>149.67</v>
      </c>
      <c r="G665" s="0" t="n">
        <v>62179.63</v>
      </c>
      <c r="H665" s="0" t="n">
        <v>0.194</v>
      </c>
      <c r="I665" s="0" t="n">
        <v>62179.63</v>
      </c>
    </row>
    <row r="666" customFormat="false" ht="15" hidden="false" customHeight="false" outlineLevel="0" collapsed="false">
      <c r="A666" s="0" t="n">
        <v>665</v>
      </c>
      <c r="B666" s="0" t="n">
        <v>-71.67</v>
      </c>
      <c r="C666" s="0" t="n">
        <v>36.17</v>
      </c>
      <c r="D666" s="0" t="n">
        <v>-25.95</v>
      </c>
      <c r="E666" s="0" t="n">
        <v>965705.93</v>
      </c>
      <c r="F666" s="0" t="n">
        <v>36275.84</v>
      </c>
      <c r="G666" s="0" t="n">
        <v>1001981.77</v>
      </c>
      <c r="H666" s="0" t="n">
        <v>3.1254</v>
      </c>
      <c r="I666" s="0" t="n">
        <v>1001981.77</v>
      </c>
    </row>
    <row r="667" customFormat="false" ht="15" hidden="false" customHeight="false" outlineLevel="0" collapsed="false">
      <c r="A667" s="0" t="n">
        <v>666</v>
      </c>
      <c r="B667" s="0" t="n">
        <v>50.56</v>
      </c>
      <c r="C667" s="0" t="n">
        <v>-2.41</v>
      </c>
      <c r="D667" s="0" t="n">
        <v>-29.5</v>
      </c>
      <c r="E667" s="0" t="n">
        <v>-681268.56</v>
      </c>
      <c r="F667" s="0" t="n">
        <v>18053.62</v>
      </c>
      <c r="G667" s="0" t="n">
        <v>-663214.94</v>
      </c>
      <c r="H667" s="0" t="n">
        <v>-2.0687</v>
      </c>
      <c r="I667" s="0" t="n">
        <v>663214.94</v>
      </c>
    </row>
    <row r="668" customFormat="false" ht="15" hidden="false" customHeight="false" outlineLevel="0" collapsed="false">
      <c r="A668" s="0" t="n">
        <v>667</v>
      </c>
      <c r="B668" s="0" t="n">
        <v>-105.21</v>
      </c>
      <c r="C668" s="0" t="n">
        <v>138.39</v>
      </c>
      <c r="D668" s="0" t="n">
        <v>56.25</v>
      </c>
      <c r="E668" s="0" t="n">
        <v>1417633.93</v>
      </c>
      <c r="F668" s="0" t="n">
        <v>78172.83</v>
      </c>
      <c r="G668" s="0" t="n">
        <v>1495806.76</v>
      </c>
      <c r="H668" s="0" t="n">
        <v>4.6657</v>
      </c>
      <c r="I668" s="0" t="n">
        <v>1495806.76</v>
      </c>
    </row>
    <row r="669" customFormat="false" ht="15" hidden="false" customHeight="false" outlineLevel="0" collapsed="false">
      <c r="A669" s="0" t="n">
        <v>668</v>
      </c>
      <c r="B669" s="0" t="n">
        <v>90.01</v>
      </c>
      <c r="C669" s="0" t="n">
        <v>25.75</v>
      </c>
      <c r="D669" s="0" t="n">
        <v>-0.73</v>
      </c>
      <c r="E669" s="0" t="n">
        <v>-1212896.84</v>
      </c>
      <c r="F669" s="0" t="n">
        <v>57223.62</v>
      </c>
      <c r="G669" s="0" t="n">
        <v>-1155673.22</v>
      </c>
      <c r="H669" s="0" t="n">
        <v>-3.6048</v>
      </c>
      <c r="I669" s="0" t="n">
        <v>1155673.22</v>
      </c>
    </row>
    <row r="670" customFormat="false" ht="15" hidden="false" customHeight="false" outlineLevel="0" collapsed="false">
      <c r="A670" s="0" t="n">
        <v>669</v>
      </c>
      <c r="B670" s="0" t="n">
        <v>54.2</v>
      </c>
      <c r="C670" s="0" t="n">
        <v>-12.31</v>
      </c>
      <c r="D670" s="0" t="n">
        <v>6.12</v>
      </c>
      <c r="E670" s="0" t="n">
        <v>-730281.08</v>
      </c>
      <c r="F670" s="0" t="n">
        <v>20744.73</v>
      </c>
      <c r="G670" s="0" t="n">
        <v>-709536.36</v>
      </c>
      <c r="H670" s="0" t="n">
        <v>-2.2132</v>
      </c>
      <c r="I670" s="0" t="n">
        <v>709536.36</v>
      </c>
    </row>
    <row r="671" customFormat="false" ht="15" hidden="false" customHeight="false" outlineLevel="0" collapsed="false">
      <c r="A671" s="0" t="n">
        <v>670</v>
      </c>
      <c r="B671" s="0" t="n">
        <v>-250.12</v>
      </c>
      <c r="C671" s="0" t="n">
        <v>11.12</v>
      </c>
      <c r="D671" s="0" t="n">
        <v>-49.62</v>
      </c>
      <c r="E671" s="0" t="n">
        <v>3370360.84</v>
      </c>
      <c r="F671" s="0" t="n">
        <v>441855.67</v>
      </c>
      <c r="G671" s="0" t="n">
        <v>3812216.51</v>
      </c>
      <c r="H671" s="0" t="n">
        <v>11.8911</v>
      </c>
      <c r="I671" s="0" t="n">
        <v>3812216.51</v>
      </c>
    </row>
    <row r="672" customFormat="false" ht="15" hidden="false" customHeight="false" outlineLevel="0" collapsed="false">
      <c r="A672" s="0" t="n">
        <v>671</v>
      </c>
      <c r="B672" s="0" t="n">
        <v>-91.23</v>
      </c>
      <c r="C672" s="0" t="n">
        <v>63.98</v>
      </c>
      <c r="D672" s="0" t="n">
        <v>-19.01</v>
      </c>
      <c r="E672" s="0" t="n">
        <v>1229373.31</v>
      </c>
      <c r="F672" s="0" t="n">
        <v>58788.88</v>
      </c>
      <c r="G672" s="0" t="n">
        <v>1288162.19</v>
      </c>
      <c r="H672" s="0" t="n">
        <v>4.0181</v>
      </c>
      <c r="I672" s="0" t="n">
        <v>1288162.19</v>
      </c>
    </row>
    <row r="673" customFormat="false" ht="15" hidden="false" customHeight="false" outlineLevel="0" collapsed="false">
      <c r="A673" s="0" t="n">
        <v>672</v>
      </c>
      <c r="B673" s="0" t="n">
        <v>-71.87</v>
      </c>
      <c r="C673" s="0" t="n">
        <v>46.12</v>
      </c>
      <c r="D673" s="0" t="n">
        <v>10.5</v>
      </c>
      <c r="E673" s="0" t="n">
        <v>968495.14</v>
      </c>
      <c r="F673" s="0" t="n">
        <v>36485.69</v>
      </c>
      <c r="G673" s="0" t="n">
        <v>1004980.83</v>
      </c>
      <c r="H673" s="0" t="n">
        <v>3.1348</v>
      </c>
      <c r="I673" s="0" t="n">
        <v>1004980.83</v>
      </c>
    </row>
    <row r="674" customFormat="false" ht="15" hidden="false" customHeight="false" outlineLevel="0" collapsed="false">
      <c r="A674" s="0" t="n">
        <v>673</v>
      </c>
      <c r="B674" s="0" t="n">
        <v>-66.87</v>
      </c>
      <c r="C674" s="0" t="n">
        <v>17.29</v>
      </c>
      <c r="D674" s="0" t="n">
        <v>-67.01</v>
      </c>
      <c r="E674" s="0" t="n">
        <v>901134.35</v>
      </c>
      <c r="F674" s="0" t="n">
        <v>31586.88</v>
      </c>
      <c r="G674" s="0" t="n">
        <v>932721.23</v>
      </c>
      <c r="H674" s="0" t="n">
        <v>2.9094</v>
      </c>
      <c r="I674" s="0" t="n">
        <v>932721.23</v>
      </c>
    </row>
    <row r="675" customFormat="false" ht="15" hidden="false" customHeight="false" outlineLevel="0" collapsed="false">
      <c r="A675" s="0" t="n">
        <v>674</v>
      </c>
      <c r="B675" s="0" t="n">
        <v>31.47</v>
      </c>
      <c r="C675" s="0" t="n">
        <v>-50.44</v>
      </c>
      <c r="D675" s="0" t="n">
        <v>35.93</v>
      </c>
      <c r="E675" s="0" t="n">
        <v>-424024.51</v>
      </c>
      <c r="F675" s="0" t="n">
        <v>6993.74</v>
      </c>
      <c r="G675" s="0" t="n">
        <v>-417030.77</v>
      </c>
      <c r="H675" s="0" t="n">
        <v>-1.3008</v>
      </c>
      <c r="I675" s="0" t="n">
        <v>417030.77</v>
      </c>
    </row>
    <row r="676" customFormat="false" ht="15" hidden="false" customHeight="false" outlineLevel="0" collapsed="false">
      <c r="A676" s="0" t="n">
        <v>675</v>
      </c>
      <c r="B676" s="0" t="n">
        <v>145.7</v>
      </c>
      <c r="C676" s="0" t="n">
        <v>13.07</v>
      </c>
      <c r="D676" s="0" t="n">
        <v>24.49</v>
      </c>
      <c r="E676" s="0" t="n">
        <v>-1963344.52</v>
      </c>
      <c r="F676" s="0" t="n">
        <v>149941.09</v>
      </c>
      <c r="G676" s="0" t="n">
        <v>-1813403.43</v>
      </c>
      <c r="H676" s="0" t="n">
        <v>-5.6564</v>
      </c>
      <c r="I676" s="0" t="n">
        <v>1813403.43</v>
      </c>
    </row>
    <row r="677" customFormat="false" ht="15" hidden="false" customHeight="false" outlineLevel="0" collapsed="false">
      <c r="A677" s="0" t="n">
        <v>676</v>
      </c>
      <c r="B677" s="0" t="n">
        <v>109.26</v>
      </c>
      <c r="C677" s="0" t="n">
        <v>26.52</v>
      </c>
      <c r="D677" s="0" t="n">
        <v>-5.81</v>
      </c>
      <c r="E677" s="0" t="n">
        <v>-1472250.91</v>
      </c>
      <c r="F677" s="0" t="n">
        <v>84312.37</v>
      </c>
      <c r="G677" s="0" t="n">
        <v>-1387938.55</v>
      </c>
      <c r="H677" s="0" t="n">
        <v>-4.3293</v>
      </c>
      <c r="I677" s="0" t="n">
        <v>1387938.55</v>
      </c>
    </row>
    <row r="678" customFormat="false" ht="15" hidden="false" customHeight="false" outlineLevel="0" collapsed="false">
      <c r="A678" s="0" t="n">
        <v>677</v>
      </c>
      <c r="B678" s="0" t="n">
        <v>2.13</v>
      </c>
      <c r="C678" s="0" t="n">
        <v>65.7</v>
      </c>
      <c r="D678" s="0" t="n">
        <v>-9.29</v>
      </c>
      <c r="E678" s="0" t="n">
        <v>-28763.61</v>
      </c>
      <c r="F678" s="0" t="n">
        <v>32.18</v>
      </c>
      <c r="G678" s="0" t="n">
        <v>-28731.43</v>
      </c>
      <c r="H678" s="0" t="n">
        <v>-0.0896</v>
      </c>
      <c r="I678" s="0" t="n">
        <v>28731.43</v>
      </c>
    </row>
    <row r="679" customFormat="false" ht="15" hidden="false" customHeight="false" outlineLevel="0" collapsed="false">
      <c r="A679" s="0" t="n">
        <v>678</v>
      </c>
      <c r="B679" s="0" t="n">
        <v>-50.61</v>
      </c>
      <c r="C679" s="0" t="n">
        <v>16.35</v>
      </c>
      <c r="D679" s="0" t="n">
        <v>8.84</v>
      </c>
      <c r="E679" s="0" t="n">
        <v>682034.52</v>
      </c>
      <c r="F679" s="0" t="n">
        <v>18094.24</v>
      </c>
      <c r="G679" s="0" t="n">
        <v>700128.76</v>
      </c>
      <c r="H679" s="0" t="n">
        <v>2.1839</v>
      </c>
      <c r="I679" s="0" t="n">
        <v>700128.76</v>
      </c>
    </row>
    <row r="680" customFormat="false" ht="15" hidden="false" customHeight="false" outlineLevel="0" collapsed="false">
      <c r="A680" s="0" t="n">
        <v>679</v>
      </c>
      <c r="B680" s="0" t="n">
        <v>-23.53</v>
      </c>
      <c r="C680" s="0" t="n">
        <v>-47.82</v>
      </c>
      <c r="D680" s="0" t="n">
        <v>-22.11</v>
      </c>
      <c r="E680" s="0" t="n">
        <v>317051.9</v>
      </c>
      <c r="F680" s="0" t="n">
        <v>3910.1</v>
      </c>
      <c r="G680" s="0" t="n">
        <v>320962.01</v>
      </c>
      <c r="H680" s="0" t="n">
        <v>1.0011</v>
      </c>
      <c r="I680" s="0" t="n">
        <v>320962.01</v>
      </c>
    </row>
    <row r="681" customFormat="false" ht="15" hidden="false" customHeight="false" outlineLevel="0" collapsed="false">
      <c r="A681" s="0" t="n">
        <v>680</v>
      </c>
      <c r="B681" s="0" t="n">
        <v>-260.15</v>
      </c>
      <c r="C681" s="0" t="n">
        <v>96.03</v>
      </c>
      <c r="D681" s="0" t="n">
        <v>31.84</v>
      </c>
      <c r="E681" s="0" t="n">
        <v>3505452.38</v>
      </c>
      <c r="F681" s="0" t="n">
        <v>477986.66</v>
      </c>
      <c r="G681" s="0" t="n">
        <v>3983439.04</v>
      </c>
      <c r="H681" s="0" t="n">
        <v>12.4252</v>
      </c>
      <c r="I681" s="0" t="n">
        <v>3983439.04</v>
      </c>
    </row>
    <row r="682" customFormat="false" ht="15" hidden="false" customHeight="false" outlineLevel="0" collapsed="false">
      <c r="A682" s="0" t="n">
        <v>681</v>
      </c>
      <c r="B682" s="0" t="n">
        <v>42.85</v>
      </c>
      <c r="C682" s="0" t="n">
        <v>-21.16</v>
      </c>
      <c r="D682" s="0" t="n">
        <v>-41.26</v>
      </c>
      <c r="E682" s="0" t="n">
        <v>-577387.28</v>
      </c>
      <c r="F682" s="0" t="n">
        <v>12967.67</v>
      </c>
      <c r="G682" s="0" t="n">
        <v>-564419.61</v>
      </c>
      <c r="H682" s="0" t="n">
        <v>-1.7605</v>
      </c>
      <c r="I682" s="0" t="n">
        <v>564419.61</v>
      </c>
    </row>
    <row r="683" customFormat="false" ht="15" hidden="false" customHeight="false" outlineLevel="0" collapsed="false">
      <c r="A683" s="0" t="n">
        <v>682</v>
      </c>
      <c r="B683" s="0" t="n">
        <v>68.05</v>
      </c>
      <c r="C683" s="0" t="n">
        <v>-61.72</v>
      </c>
      <c r="D683" s="0" t="n">
        <v>-0.15</v>
      </c>
      <c r="E683" s="0" t="n">
        <v>-916917.29</v>
      </c>
      <c r="F683" s="0" t="n">
        <v>32703.03</v>
      </c>
      <c r="G683" s="0" t="n">
        <v>-884214.26</v>
      </c>
      <c r="H683" s="0" t="n">
        <v>-2.7581</v>
      </c>
      <c r="I683" s="0" t="n">
        <v>884214.26</v>
      </c>
    </row>
    <row r="684" customFormat="false" ht="15" hidden="false" customHeight="false" outlineLevel="0" collapsed="false">
      <c r="A684" s="0" t="n">
        <v>683</v>
      </c>
      <c r="B684" s="0" t="n">
        <v>100.54</v>
      </c>
      <c r="C684" s="0" t="n">
        <v>-43.4</v>
      </c>
      <c r="D684" s="0" t="n">
        <v>-5.05</v>
      </c>
      <c r="E684" s="0" t="n">
        <v>-1354730.5</v>
      </c>
      <c r="F684" s="0" t="n">
        <v>71389.35</v>
      </c>
      <c r="G684" s="0" t="n">
        <v>-1283341.15</v>
      </c>
      <c r="H684" s="0" t="n">
        <v>-4.003</v>
      </c>
      <c r="I684" s="0" t="n">
        <v>1283341.15</v>
      </c>
    </row>
    <row r="685" customFormat="false" ht="15" hidden="false" customHeight="false" outlineLevel="0" collapsed="false">
      <c r="A685" s="0" t="n">
        <v>684</v>
      </c>
      <c r="B685" s="0" t="n">
        <v>-166.25</v>
      </c>
      <c r="C685" s="0" t="n">
        <v>89.7</v>
      </c>
      <c r="D685" s="0" t="n">
        <v>-27.71</v>
      </c>
      <c r="E685" s="0" t="n">
        <v>2240260.39</v>
      </c>
      <c r="F685" s="0" t="n">
        <v>195220.15</v>
      </c>
      <c r="G685" s="0" t="n">
        <v>2435480.54</v>
      </c>
      <c r="H685" s="0" t="n">
        <v>7.5968</v>
      </c>
      <c r="I685" s="0" t="n">
        <v>2435480.54</v>
      </c>
    </row>
    <row r="686" customFormat="false" ht="15" hidden="false" customHeight="false" outlineLevel="0" collapsed="false">
      <c r="A686" s="0" t="n">
        <v>685</v>
      </c>
      <c r="B686" s="0" t="n">
        <v>100.84</v>
      </c>
      <c r="C686" s="0" t="n">
        <v>41.33</v>
      </c>
      <c r="D686" s="0" t="n">
        <v>16.2</v>
      </c>
      <c r="E686" s="0" t="n">
        <v>-1358873.97</v>
      </c>
      <c r="F686" s="0" t="n">
        <v>71826.71</v>
      </c>
      <c r="G686" s="0" t="n">
        <v>-1287047.26</v>
      </c>
      <c r="H686" s="0" t="n">
        <v>-4.0146</v>
      </c>
      <c r="I686" s="0" t="n">
        <v>1287047.26</v>
      </c>
    </row>
    <row r="687" customFormat="false" ht="15" hidden="false" customHeight="false" outlineLevel="0" collapsed="false">
      <c r="A687" s="0" t="n">
        <v>686</v>
      </c>
      <c r="B687" s="0" t="n">
        <v>-175.36</v>
      </c>
      <c r="C687" s="0" t="n">
        <v>-4.09</v>
      </c>
      <c r="D687" s="0" t="n">
        <v>20.43</v>
      </c>
      <c r="E687" s="0" t="n">
        <v>2362927.06</v>
      </c>
      <c r="F687" s="0" t="n">
        <v>217184.22</v>
      </c>
      <c r="G687" s="0" t="n">
        <v>2580111.27</v>
      </c>
      <c r="H687" s="0" t="n">
        <v>8.0479</v>
      </c>
      <c r="I687" s="0" t="n">
        <v>2580111.27</v>
      </c>
    </row>
    <row r="688" customFormat="false" ht="15" hidden="false" customHeight="false" outlineLevel="0" collapsed="false">
      <c r="A688" s="0" t="n">
        <v>687</v>
      </c>
      <c r="B688" s="0" t="n">
        <v>-1.66</v>
      </c>
      <c r="C688" s="0" t="n">
        <v>-77.48</v>
      </c>
      <c r="D688" s="0" t="n">
        <v>18.2</v>
      </c>
      <c r="E688" s="0" t="n">
        <v>22431.54</v>
      </c>
      <c r="F688" s="0" t="n">
        <v>19.57</v>
      </c>
      <c r="G688" s="0" t="n">
        <v>22451.11</v>
      </c>
      <c r="H688" s="0" t="n">
        <v>0.07</v>
      </c>
      <c r="I688" s="0" t="n">
        <v>22451.11</v>
      </c>
    </row>
    <row r="689" customFormat="false" ht="15" hidden="false" customHeight="false" outlineLevel="0" collapsed="false">
      <c r="A689" s="0" t="n">
        <v>688</v>
      </c>
      <c r="B689" s="0" t="n">
        <v>2.45</v>
      </c>
      <c r="C689" s="0" t="n">
        <v>-22.54</v>
      </c>
      <c r="D689" s="0" t="n">
        <v>0.7</v>
      </c>
      <c r="E689" s="0" t="n">
        <v>-33002.24</v>
      </c>
      <c r="F689" s="0" t="n">
        <v>42.37</v>
      </c>
      <c r="G689" s="0" t="n">
        <v>-32959.87</v>
      </c>
      <c r="H689" s="0" t="n">
        <v>-0.1028</v>
      </c>
      <c r="I689" s="0" t="n">
        <v>32959.87</v>
      </c>
    </row>
    <row r="690" customFormat="false" ht="15" hidden="false" customHeight="false" outlineLevel="0" collapsed="false">
      <c r="A690" s="0" t="n">
        <v>689</v>
      </c>
      <c r="B690" s="0" t="n">
        <v>15.46</v>
      </c>
      <c r="C690" s="0" t="n">
        <v>-51.43</v>
      </c>
      <c r="D690" s="0" t="n">
        <v>-21.44</v>
      </c>
      <c r="E690" s="0" t="n">
        <v>-208333.84</v>
      </c>
      <c r="F690" s="0" t="n">
        <v>1688.29</v>
      </c>
      <c r="G690" s="0" t="n">
        <v>-206645.55</v>
      </c>
      <c r="H690" s="0" t="n">
        <v>-0.6446</v>
      </c>
      <c r="I690" s="0" t="n">
        <v>206645.55</v>
      </c>
    </row>
    <row r="691" customFormat="false" ht="15" hidden="false" customHeight="false" outlineLevel="0" collapsed="false">
      <c r="A691" s="0" t="n">
        <v>690</v>
      </c>
      <c r="B691" s="0" t="n">
        <v>41.16</v>
      </c>
      <c r="C691" s="0" t="n">
        <v>-28.26</v>
      </c>
      <c r="D691" s="0" t="n">
        <v>7.86</v>
      </c>
      <c r="E691" s="0" t="n">
        <v>-554651.2</v>
      </c>
      <c r="F691" s="0" t="n">
        <v>11966.51</v>
      </c>
      <c r="G691" s="0" t="n">
        <v>-542684.69</v>
      </c>
      <c r="H691" s="0" t="n">
        <v>-1.6928</v>
      </c>
      <c r="I691" s="0" t="n">
        <v>542684.69</v>
      </c>
    </row>
    <row r="692" customFormat="false" ht="15" hidden="false" customHeight="false" outlineLevel="0" collapsed="false">
      <c r="A692" s="0" t="n">
        <v>691</v>
      </c>
      <c r="B692" s="0" t="n">
        <v>20.9</v>
      </c>
      <c r="C692" s="0" t="n">
        <v>24.74</v>
      </c>
      <c r="D692" s="0" t="n">
        <v>-35.33</v>
      </c>
      <c r="E692" s="0" t="n">
        <v>-281593.26</v>
      </c>
      <c r="F692" s="0" t="n">
        <v>3084.41</v>
      </c>
      <c r="G692" s="0" t="n">
        <v>-278508.85</v>
      </c>
      <c r="H692" s="0" t="n">
        <v>-0.8687</v>
      </c>
      <c r="I692" s="0" t="n">
        <v>278508.85</v>
      </c>
    </row>
    <row r="693" customFormat="false" ht="15" hidden="false" customHeight="false" outlineLevel="0" collapsed="false">
      <c r="A693" s="0" t="n">
        <v>692</v>
      </c>
      <c r="B693" s="0" t="n">
        <v>10.03</v>
      </c>
      <c r="C693" s="0" t="n">
        <v>49.79</v>
      </c>
      <c r="D693" s="0" t="n">
        <v>24.79</v>
      </c>
      <c r="E693" s="0" t="n">
        <v>-135208.87</v>
      </c>
      <c r="F693" s="0" t="n">
        <v>711.11</v>
      </c>
      <c r="G693" s="0" t="n">
        <v>-134497.75</v>
      </c>
      <c r="H693" s="0" t="n">
        <v>-0.4195</v>
      </c>
      <c r="I693" s="0" t="n">
        <v>134497.75</v>
      </c>
    </row>
    <row r="694" customFormat="false" ht="15" hidden="false" customHeight="false" outlineLevel="0" collapsed="false">
      <c r="A694" s="0" t="n">
        <v>693</v>
      </c>
      <c r="B694" s="0" t="n">
        <v>15.61</v>
      </c>
      <c r="C694" s="0" t="n">
        <v>32.57</v>
      </c>
      <c r="D694" s="0" t="n">
        <v>-0.03</v>
      </c>
      <c r="E694" s="0" t="n">
        <v>-210294.2</v>
      </c>
      <c r="F694" s="0" t="n">
        <v>1720.21</v>
      </c>
      <c r="G694" s="0" t="n">
        <v>-208573.98</v>
      </c>
      <c r="H694" s="0" t="n">
        <v>-0.6506</v>
      </c>
      <c r="I694" s="0" t="n">
        <v>208573.98</v>
      </c>
    </row>
    <row r="695" customFormat="false" ht="15" hidden="false" customHeight="false" outlineLevel="0" collapsed="false">
      <c r="A695" s="0" t="n">
        <v>694</v>
      </c>
      <c r="B695" s="0" t="n">
        <v>-182.01</v>
      </c>
      <c r="C695" s="0" t="n">
        <v>50.95</v>
      </c>
      <c r="D695" s="0" t="n">
        <v>79.96</v>
      </c>
      <c r="E695" s="0" t="n">
        <v>2452603.84</v>
      </c>
      <c r="F695" s="0" t="n">
        <v>233981.99</v>
      </c>
      <c r="G695" s="0" t="n">
        <v>2686585.83</v>
      </c>
      <c r="H695" s="0" t="n">
        <v>8.38</v>
      </c>
      <c r="I695" s="0" t="n">
        <v>2686585.83</v>
      </c>
    </row>
    <row r="696" customFormat="false" ht="15" hidden="false" customHeight="false" outlineLevel="0" collapsed="false">
      <c r="A696" s="0" t="n">
        <v>695</v>
      </c>
      <c r="B696" s="0" t="n">
        <v>74.59</v>
      </c>
      <c r="C696" s="0" t="n">
        <v>-38.92</v>
      </c>
      <c r="D696" s="0" t="n">
        <v>12.32</v>
      </c>
      <c r="E696" s="0" t="n">
        <v>-1005141.7</v>
      </c>
      <c r="F696" s="0" t="n">
        <v>39299.06</v>
      </c>
      <c r="G696" s="0" t="n">
        <v>-965842.64</v>
      </c>
      <c r="H696" s="0" t="n">
        <v>-3.0127</v>
      </c>
      <c r="I696" s="0" t="n">
        <v>965842.64</v>
      </c>
    </row>
    <row r="697" customFormat="false" ht="15" hidden="false" customHeight="false" outlineLevel="0" collapsed="false">
      <c r="A697" s="0" t="n">
        <v>696</v>
      </c>
      <c r="B697" s="0" t="n">
        <v>-25.01</v>
      </c>
      <c r="C697" s="0" t="n">
        <v>-13.35</v>
      </c>
      <c r="D697" s="0" t="n">
        <v>-9.25</v>
      </c>
      <c r="E697" s="0" t="n">
        <v>336943.62</v>
      </c>
      <c r="F697" s="0" t="n">
        <v>4416.13</v>
      </c>
      <c r="G697" s="0" t="n">
        <v>341359.75</v>
      </c>
      <c r="H697" s="0" t="n">
        <v>1.0648</v>
      </c>
      <c r="I697" s="0" t="n">
        <v>341359.75</v>
      </c>
    </row>
    <row r="698" customFormat="false" ht="15" hidden="false" customHeight="false" outlineLevel="0" collapsed="false">
      <c r="A698" s="0" t="n">
        <v>697</v>
      </c>
      <c r="B698" s="0" t="n">
        <v>44.3</v>
      </c>
      <c r="C698" s="0" t="n">
        <v>13.23</v>
      </c>
      <c r="D698" s="0" t="n">
        <v>6.77</v>
      </c>
      <c r="E698" s="0" t="n">
        <v>-596991.2</v>
      </c>
      <c r="F698" s="0" t="n">
        <v>13863.2</v>
      </c>
      <c r="G698" s="0" t="n">
        <v>-583128</v>
      </c>
      <c r="H698" s="0" t="n">
        <v>-1.8189</v>
      </c>
      <c r="I698" s="0" t="n">
        <v>583128</v>
      </c>
    </row>
    <row r="699" customFormat="false" ht="15" hidden="false" customHeight="false" outlineLevel="0" collapsed="false">
      <c r="A699" s="0" t="n">
        <v>698</v>
      </c>
      <c r="B699" s="0" t="n">
        <v>9.64</v>
      </c>
      <c r="C699" s="0" t="n">
        <v>5.5</v>
      </c>
      <c r="D699" s="0" t="n">
        <v>34.41</v>
      </c>
      <c r="E699" s="0" t="n">
        <v>-129930.15</v>
      </c>
      <c r="F699" s="0" t="n">
        <v>656.67</v>
      </c>
      <c r="G699" s="0" t="n">
        <v>-129273.48</v>
      </c>
      <c r="H699" s="0" t="n">
        <v>-0.4032</v>
      </c>
      <c r="I699" s="0" t="n">
        <v>129273.48</v>
      </c>
    </row>
    <row r="700" customFormat="false" ht="15" hidden="false" customHeight="false" outlineLevel="0" collapsed="false">
      <c r="A700" s="0" t="n">
        <v>699</v>
      </c>
      <c r="B700" s="0" t="n">
        <v>0.91</v>
      </c>
      <c r="C700" s="0" t="n">
        <v>-6.9</v>
      </c>
      <c r="D700" s="0" t="n">
        <v>-7.54</v>
      </c>
      <c r="E700" s="0" t="n">
        <v>-12317.72</v>
      </c>
      <c r="F700" s="0" t="n">
        <v>5.9</v>
      </c>
      <c r="G700" s="0" t="n">
        <v>-12311.82</v>
      </c>
      <c r="H700" s="0" t="n">
        <v>-0.0384</v>
      </c>
      <c r="I700" s="0" t="n">
        <v>12311.82</v>
      </c>
    </row>
    <row r="701" customFormat="false" ht="15" hidden="false" customHeight="false" outlineLevel="0" collapsed="false">
      <c r="A701" s="0" t="n">
        <v>700</v>
      </c>
      <c r="B701" s="0" t="n">
        <v>247.96</v>
      </c>
      <c r="C701" s="0" t="n">
        <v>-44.76</v>
      </c>
      <c r="D701" s="0" t="n">
        <v>-45.62</v>
      </c>
      <c r="E701" s="0" t="n">
        <v>-3341276.95</v>
      </c>
      <c r="F701" s="0" t="n">
        <v>434262.75</v>
      </c>
      <c r="G701" s="0" t="n">
        <v>-2907014.2</v>
      </c>
      <c r="H701" s="0" t="n">
        <v>-9.0676</v>
      </c>
      <c r="I701" s="0" t="n">
        <v>2907014.2</v>
      </c>
    </row>
    <row r="702" customFormat="false" ht="15" hidden="false" customHeight="false" outlineLevel="0" collapsed="false">
      <c r="A702" s="0" t="n">
        <v>701</v>
      </c>
      <c r="B702" s="0" t="n">
        <v>66.49</v>
      </c>
      <c r="C702" s="0" t="n">
        <v>8.95</v>
      </c>
      <c r="D702" s="0" t="n">
        <v>7.56</v>
      </c>
      <c r="E702" s="0" t="n">
        <v>-895959.85</v>
      </c>
      <c r="F702" s="0" t="n">
        <v>31225.16</v>
      </c>
      <c r="G702" s="0" t="n">
        <v>-864734.68</v>
      </c>
      <c r="H702" s="0" t="n">
        <v>-2.6973</v>
      </c>
      <c r="I702" s="0" t="n">
        <v>864734.68</v>
      </c>
    </row>
    <row r="703" customFormat="false" ht="15" hidden="false" customHeight="false" outlineLevel="0" collapsed="false">
      <c r="A703" s="0" t="n">
        <v>702</v>
      </c>
      <c r="B703" s="0" t="n">
        <v>-93.74</v>
      </c>
      <c r="C703" s="0" t="n">
        <v>-126.88</v>
      </c>
      <c r="D703" s="0" t="n">
        <v>-9.65</v>
      </c>
      <c r="E703" s="0" t="n">
        <v>1263109.62</v>
      </c>
      <c r="F703" s="0" t="n">
        <v>62059.71</v>
      </c>
      <c r="G703" s="0" t="n">
        <v>1325169.33</v>
      </c>
      <c r="H703" s="0" t="n">
        <v>4.1335</v>
      </c>
      <c r="I703" s="0" t="n">
        <v>1325169.33</v>
      </c>
    </row>
    <row r="704" customFormat="false" ht="15" hidden="false" customHeight="false" outlineLevel="0" collapsed="false">
      <c r="A704" s="0" t="n">
        <v>703</v>
      </c>
      <c r="B704" s="0" t="n">
        <v>-11.46</v>
      </c>
      <c r="C704" s="0" t="n">
        <v>57.39</v>
      </c>
      <c r="D704" s="0" t="n">
        <v>1.77</v>
      </c>
      <c r="E704" s="0" t="n">
        <v>154412.75</v>
      </c>
      <c r="F704" s="0" t="n">
        <v>927.46</v>
      </c>
      <c r="G704" s="0" t="n">
        <v>155340.21</v>
      </c>
      <c r="H704" s="0" t="n">
        <v>0.4845</v>
      </c>
      <c r="I704" s="0" t="n">
        <v>155340.21</v>
      </c>
    </row>
    <row r="705" customFormat="false" ht="15" hidden="false" customHeight="false" outlineLevel="0" collapsed="false">
      <c r="A705" s="0" t="n">
        <v>704</v>
      </c>
      <c r="B705" s="0" t="n">
        <v>-136.05</v>
      </c>
      <c r="C705" s="0" t="n">
        <v>-39.15</v>
      </c>
      <c r="D705" s="0" t="n">
        <v>38.85</v>
      </c>
      <c r="E705" s="0" t="n">
        <v>1833320.1</v>
      </c>
      <c r="F705" s="0" t="n">
        <v>130738.72</v>
      </c>
      <c r="G705" s="0" t="n">
        <v>1964058.83</v>
      </c>
      <c r="H705" s="0" t="n">
        <v>6.1263</v>
      </c>
      <c r="I705" s="0" t="n">
        <v>1964058.83</v>
      </c>
    </row>
    <row r="706" customFormat="false" ht="15" hidden="false" customHeight="false" outlineLevel="0" collapsed="false">
      <c r="A706" s="0" t="n">
        <v>705</v>
      </c>
      <c r="B706" s="0" t="n">
        <v>-48.04</v>
      </c>
      <c r="C706" s="0" t="n">
        <v>36.28</v>
      </c>
      <c r="D706" s="0" t="n">
        <v>1.86</v>
      </c>
      <c r="E706" s="0" t="n">
        <v>647364.48</v>
      </c>
      <c r="F706" s="0" t="n">
        <v>16301.42</v>
      </c>
      <c r="G706" s="0" t="n">
        <v>663665.9</v>
      </c>
      <c r="H706" s="0" t="n">
        <v>2.0701</v>
      </c>
      <c r="I706" s="0" t="n">
        <v>663665.9</v>
      </c>
    </row>
    <row r="707" customFormat="false" ht="15" hidden="false" customHeight="false" outlineLevel="0" collapsed="false">
      <c r="A707" s="0" t="n">
        <v>706</v>
      </c>
      <c r="B707" s="0" t="n">
        <v>94.47</v>
      </c>
      <c r="C707" s="0" t="n">
        <v>-55.18</v>
      </c>
      <c r="D707" s="0" t="n">
        <v>24.54</v>
      </c>
      <c r="E707" s="0" t="n">
        <v>-1273035.84</v>
      </c>
      <c r="F707" s="0" t="n">
        <v>63038.94</v>
      </c>
      <c r="G707" s="0" t="n">
        <v>-1209996.9</v>
      </c>
      <c r="H707" s="0" t="n">
        <v>-3.7742</v>
      </c>
      <c r="I707" s="0" t="n">
        <v>1209996.9</v>
      </c>
    </row>
    <row r="708" customFormat="false" ht="15" hidden="false" customHeight="false" outlineLevel="0" collapsed="false">
      <c r="A708" s="0" t="n">
        <v>707</v>
      </c>
      <c r="B708" s="0" t="n">
        <v>200.74</v>
      </c>
      <c r="C708" s="0" t="n">
        <v>-15.7</v>
      </c>
      <c r="D708" s="0" t="n">
        <v>0.82</v>
      </c>
      <c r="E708" s="0" t="n">
        <v>-2704998.91</v>
      </c>
      <c r="F708" s="0" t="n">
        <v>284617.64</v>
      </c>
      <c r="G708" s="0" t="n">
        <v>-2420381.26</v>
      </c>
      <c r="H708" s="0" t="n">
        <v>-7.5497</v>
      </c>
      <c r="I708" s="0" t="n">
        <v>2420381.26</v>
      </c>
    </row>
    <row r="709" customFormat="false" ht="15" hidden="false" customHeight="false" outlineLevel="0" collapsed="false">
      <c r="A709" s="0" t="n">
        <v>708</v>
      </c>
      <c r="B709" s="0" t="n">
        <v>-7.37</v>
      </c>
      <c r="C709" s="0" t="n">
        <v>34.82</v>
      </c>
      <c r="D709" s="0" t="n">
        <v>-22.1</v>
      </c>
      <c r="E709" s="0" t="n">
        <v>99369.44</v>
      </c>
      <c r="F709" s="0" t="n">
        <v>384.09</v>
      </c>
      <c r="G709" s="0" t="n">
        <v>99753.53</v>
      </c>
      <c r="H709" s="0" t="n">
        <v>0.3112</v>
      </c>
      <c r="I709" s="0" t="n">
        <v>99753.53</v>
      </c>
    </row>
    <row r="710" customFormat="false" ht="15" hidden="false" customHeight="false" outlineLevel="0" collapsed="false">
      <c r="A710" s="0" t="n">
        <v>709</v>
      </c>
      <c r="B710" s="0" t="n">
        <v>116.39</v>
      </c>
      <c r="C710" s="0" t="n">
        <v>-97.81</v>
      </c>
      <c r="D710" s="0" t="n">
        <v>15.16</v>
      </c>
      <c r="E710" s="0" t="n">
        <v>-1568363.97</v>
      </c>
      <c r="F710" s="0" t="n">
        <v>95680.04</v>
      </c>
      <c r="G710" s="0" t="n">
        <v>-1472683.93</v>
      </c>
      <c r="H710" s="0" t="n">
        <v>-4.5936</v>
      </c>
      <c r="I710" s="0" t="n">
        <v>1472683.93</v>
      </c>
    </row>
    <row r="711" customFormat="false" ht="15" hidden="false" customHeight="false" outlineLevel="0" collapsed="false">
      <c r="A711" s="0" t="n">
        <v>710</v>
      </c>
      <c r="B711" s="0" t="n">
        <v>8.23</v>
      </c>
      <c r="C711" s="0" t="n">
        <v>-120.56</v>
      </c>
      <c r="D711" s="0" t="n">
        <v>-14.1</v>
      </c>
      <c r="E711" s="0" t="n">
        <v>-110862.92</v>
      </c>
      <c r="F711" s="0" t="n">
        <v>478.08</v>
      </c>
      <c r="G711" s="0" t="n">
        <v>-110384.84</v>
      </c>
      <c r="H711" s="0" t="n">
        <v>-0.3443</v>
      </c>
      <c r="I711" s="0" t="n">
        <v>110384.84</v>
      </c>
    </row>
    <row r="712" customFormat="false" ht="15" hidden="false" customHeight="false" outlineLevel="0" collapsed="false">
      <c r="A712" s="0" t="n">
        <v>711</v>
      </c>
      <c r="B712" s="0" t="n">
        <v>0.68</v>
      </c>
      <c r="C712" s="0" t="n">
        <v>-37.8</v>
      </c>
      <c r="D712" s="0" t="n">
        <v>-43.61</v>
      </c>
      <c r="E712" s="0" t="n">
        <v>-9214.72</v>
      </c>
      <c r="F712" s="0" t="n">
        <v>3.3</v>
      </c>
      <c r="G712" s="0" t="n">
        <v>-9211.42</v>
      </c>
      <c r="H712" s="0" t="n">
        <v>-0.0287</v>
      </c>
      <c r="I712" s="0" t="n">
        <v>9211.42</v>
      </c>
    </row>
    <row r="713" customFormat="false" ht="15" hidden="false" customHeight="false" outlineLevel="0" collapsed="false">
      <c r="A713" s="0" t="n">
        <v>712</v>
      </c>
      <c r="B713" s="0" t="n">
        <v>45.3</v>
      </c>
      <c r="C713" s="0" t="n">
        <v>41.13</v>
      </c>
      <c r="D713" s="0" t="n">
        <v>-26.33</v>
      </c>
      <c r="E713" s="0" t="n">
        <v>-610394.14</v>
      </c>
      <c r="F713" s="0" t="n">
        <v>14492.67</v>
      </c>
      <c r="G713" s="0" t="n">
        <v>-595901.47</v>
      </c>
      <c r="H713" s="0" t="n">
        <v>-1.8587</v>
      </c>
      <c r="I713" s="0" t="n">
        <v>595901.47</v>
      </c>
    </row>
    <row r="714" customFormat="false" ht="15" hidden="false" customHeight="false" outlineLevel="0" collapsed="false">
      <c r="A714" s="0" t="n">
        <v>713</v>
      </c>
      <c r="B714" s="0" t="n">
        <v>-4.23</v>
      </c>
      <c r="C714" s="0" t="n">
        <v>-3.35</v>
      </c>
      <c r="D714" s="0" t="n">
        <v>-46.29</v>
      </c>
      <c r="E714" s="0" t="n">
        <v>57034.01</v>
      </c>
      <c r="F714" s="0" t="n">
        <v>126.53</v>
      </c>
      <c r="G714" s="0" t="n">
        <v>57160.54</v>
      </c>
      <c r="H714" s="0" t="n">
        <v>0.1783</v>
      </c>
      <c r="I714" s="0" t="n">
        <v>57160.54</v>
      </c>
    </row>
    <row r="715" customFormat="false" ht="15" hidden="false" customHeight="false" outlineLevel="0" collapsed="false">
      <c r="A715" s="0" t="n">
        <v>714</v>
      </c>
      <c r="B715" s="0" t="n">
        <v>-181.98</v>
      </c>
      <c r="C715" s="0" t="n">
        <v>-31.05</v>
      </c>
      <c r="D715" s="0" t="n">
        <v>38.22</v>
      </c>
      <c r="E715" s="0" t="n">
        <v>2452194.42</v>
      </c>
      <c r="F715" s="0" t="n">
        <v>233903.88</v>
      </c>
      <c r="G715" s="0" t="n">
        <v>2686098.3</v>
      </c>
      <c r="H715" s="0" t="n">
        <v>8.3785</v>
      </c>
      <c r="I715" s="0" t="n">
        <v>2686098.3</v>
      </c>
    </row>
    <row r="716" customFormat="false" ht="15" hidden="false" customHeight="false" outlineLevel="0" collapsed="false">
      <c r="A716" s="0" t="n">
        <v>715</v>
      </c>
      <c r="B716" s="0" t="n">
        <v>185.05</v>
      </c>
      <c r="C716" s="0" t="n">
        <v>-94.37</v>
      </c>
      <c r="D716" s="0" t="n">
        <v>-4.02</v>
      </c>
      <c r="E716" s="0" t="n">
        <v>-2493602.08</v>
      </c>
      <c r="F716" s="0" t="n">
        <v>241869.96</v>
      </c>
      <c r="G716" s="0" t="n">
        <v>-2251732.12</v>
      </c>
      <c r="H716" s="0" t="n">
        <v>-7.0236</v>
      </c>
      <c r="I716" s="0" t="n">
        <v>2251732.12</v>
      </c>
    </row>
    <row r="717" customFormat="false" ht="15" hidden="false" customHeight="false" outlineLevel="0" collapsed="false">
      <c r="A717" s="0" t="n">
        <v>716</v>
      </c>
      <c r="B717" s="0" t="n">
        <v>-149.93</v>
      </c>
      <c r="C717" s="0" t="n">
        <v>5.94</v>
      </c>
      <c r="D717" s="0" t="n">
        <v>34.35</v>
      </c>
      <c r="E717" s="0" t="n">
        <v>2020351.11</v>
      </c>
      <c r="F717" s="0" t="n">
        <v>158774.71</v>
      </c>
      <c r="G717" s="0" t="n">
        <v>2179125.83</v>
      </c>
      <c r="H717" s="0" t="n">
        <v>6.7972</v>
      </c>
      <c r="I717" s="0" t="n">
        <v>2179125.83</v>
      </c>
    </row>
    <row r="718" customFormat="false" ht="15" hidden="false" customHeight="false" outlineLevel="0" collapsed="false">
      <c r="A718" s="0" t="n">
        <v>717</v>
      </c>
      <c r="B718" s="0" t="n">
        <v>-12.05</v>
      </c>
      <c r="C718" s="0" t="n">
        <v>-88.67</v>
      </c>
      <c r="D718" s="0" t="n">
        <v>-41.11</v>
      </c>
      <c r="E718" s="0" t="n">
        <v>162335.01</v>
      </c>
      <c r="F718" s="0" t="n">
        <v>1025.07</v>
      </c>
      <c r="G718" s="0" t="n">
        <v>163360.08</v>
      </c>
      <c r="H718" s="0" t="n">
        <v>0.5096</v>
      </c>
      <c r="I718" s="0" t="n">
        <v>163360.08</v>
      </c>
    </row>
    <row r="719" customFormat="false" ht="15" hidden="false" customHeight="false" outlineLevel="0" collapsed="false">
      <c r="A719" s="0" t="n">
        <v>718</v>
      </c>
      <c r="B719" s="0" t="n">
        <v>192.83</v>
      </c>
      <c r="C719" s="0" t="n">
        <v>53.05</v>
      </c>
      <c r="D719" s="0" t="n">
        <v>-12.26</v>
      </c>
      <c r="E719" s="0" t="n">
        <v>-2598435.83</v>
      </c>
      <c r="F719" s="0" t="n">
        <v>262634.41</v>
      </c>
      <c r="G719" s="0" t="n">
        <v>-2335801.42</v>
      </c>
      <c r="H719" s="0" t="n">
        <v>-7.2859</v>
      </c>
      <c r="I719" s="0" t="n">
        <v>2335801.42</v>
      </c>
    </row>
    <row r="720" customFormat="false" ht="15" hidden="false" customHeight="false" outlineLevel="0" collapsed="false">
      <c r="A720" s="0" t="n">
        <v>719</v>
      </c>
      <c r="B720" s="0" t="n">
        <v>-84.45</v>
      </c>
      <c r="C720" s="0" t="n">
        <v>-65.03</v>
      </c>
      <c r="D720" s="0" t="n">
        <v>23.88</v>
      </c>
      <c r="E720" s="0" t="n">
        <v>1137981.24</v>
      </c>
      <c r="F720" s="0" t="n">
        <v>50373</v>
      </c>
      <c r="G720" s="0" t="n">
        <v>1188354.24</v>
      </c>
      <c r="H720" s="0" t="n">
        <v>3.7067</v>
      </c>
      <c r="I720" s="0" t="n">
        <v>1188354.24</v>
      </c>
    </row>
    <row r="721" customFormat="false" ht="15" hidden="false" customHeight="false" outlineLevel="0" collapsed="false">
      <c r="A721" s="0" t="n">
        <v>720</v>
      </c>
      <c r="B721" s="0" t="n">
        <v>58.17</v>
      </c>
      <c r="C721" s="0" t="n">
        <v>-61.67</v>
      </c>
      <c r="D721" s="0" t="n">
        <v>-29.52</v>
      </c>
      <c r="E721" s="0" t="n">
        <v>-783867.23</v>
      </c>
      <c r="F721" s="0" t="n">
        <v>23900.81</v>
      </c>
      <c r="G721" s="0" t="n">
        <v>-759966.42</v>
      </c>
      <c r="H721" s="0" t="n">
        <v>-2.3705</v>
      </c>
      <c r="I721" s="0" t="n">
        <v>759966.42</v>
      </c>
    </row>
    <row r="722" customFormat="false" ht="15" hidden="false" customHeight="false" outlineLevel="0" collapsed="false">
      <c r="A722" s="0" t="n">
        <v>721</v>
      </c>
      <c r="B722" s="0" t="n">
        <v>139.8</v>
      </c>
      <c r="C722" s="0" t="n">
        <v>-74.57</v>
      </c>
      <c r="D722" s="0" t="n">
        <v>10.35</v>
      </c>
      <c r="E722" s="0" t="n">
        <v>-1883830.91</v>
      </c>
      <c r="F722" s="0" t="n">
        <v>138042.07</v>
      </c>
      <c r="G722" s="0" t="n">
        <v>-1745788.84</v>
      </c>
      <c r="H722" s="0" t="n">
        <v>-5.4455</v>
      </c>
      <c r="I722" s="0" t="n">
        <v>1745788.84</v>
      </c>
    </row>
    <row r="723" customFormat="false" ht="15" hidden="false" customHeight="false" outlineLevel="0" collapsed="false">
      <c r="A723" s="0" t="n">
        <v>722</v>
      </c>
      <c r="B723" s="0" t="n">
        <v>-155.02</v>
      </c>
      <c r="C723" s="0" t="n">
        <v>57.53</v>
      </c>
      <c r="D723" s="0" t="n">
        <v>6.98</v>
      </c>
      <c r="E723" s="0" t="n">
        <v>2088905.91</v>
      </c>
      <c r="F723" s="0" t="n">
        <v>169732.65</v>
      </c>
      <c r="G723" s="0" t="n">
        <v>2258638.56</v>
      </c>
      <c r="H723" s="0" t="n">
        <v>7.0452</v>
      </c>
      <c r="I723" s="0" t="n">
        <v>2258638.56</v>
      </c>
    </row>
    <row r="724" customFormat="false" ht="15" hidden="false" customHeight="false" outlineLevel="0" collapsed="false">
      <c r="A724" s="0" t="n">
        <v>723</v>
      </c>
      <c r="B724" s="0" t="n">
        <v>161.4</v>
      </c>
      <c r="C724" s="0" t="n">
        <v>49.17</v>
      </c>
      <c r="D724" s="0" t="n">
        <v>88.56</v>
      </c>
      <c r="E724" s="0" t="n">
        <v>-2174807.74</v>
      </c>
      <c r="F724" s="0" t="n">
        <v>183979.47</v>
      </c>
      <c r="G724" s="0" t="n">
        <v>-1990828.27</v>
      </c>
      <c r="H724" s="0" t="n">
        <v>-6.2098</v>
      </c>
      <c r="I724" s="0" t="n">
        <v>1990828.27</v>
      </c>
    </row>
    <row r="725" customFormat="false" ht="15" hidden="false" customHeight="false" outlineLevel="0" collapsed="false">
      <c r="A725" s="0" t="n">
        <v>724</v>
      </c>
      <c r="B725" s="0" t="n">
        <v>-6.86</v>
      </c>
      <c r="C725" s="0" t="n">
        <v>-104.17</v>
      </c>
      <c r="D725" s="0" t="n">
        <v>13.23</v>
      </c>
      <c r="E725" s="0" t="n">
        <v>92377.01</v>
      </c>
      <c r="F725" s="0" t="n">
        <v>331.94</v>
      </c>
      <c r="G725" s="0" t="n">
        <v>92708.94</v>
      </c>
      <c r="H725" s="0" t="n">
        <v>0.2892</v>
      </c>
      <c r="I725" s="0" t="n">
        <v>92708.94</v>
      </c>
    </row>
    <row r="726" customFormat="false" ht="15" hidden="false" customHeight="false" outlineLevel="0" collapsed="false">
      <c r="A726" s="0" t="n">
        <v>725</v>
      </c>
      <c r="B726" s="0" t="n">
        <v>110.18</v>
      </c>
      <c r="C726" s="0" t="n">
        <v>-15.99</v>
      </c>
      <c r="D726" s="0" t="n">
        <v>-21.68</v>
      </c>
      <c r="E726" s="0" t="n">
        <v>-1484687.2</v>
      </c>
      <c r="F726" s="0" t="n">
        <v>85742.78</v>
      </c>
      <c r="G726" s="0" t="n">
        <v>-1398944.42</v>
      </c>
      <c r="H726" s="0" t="n">
        <v>-4.3636</v>
      </c>
      <c r="I726" s="0" t="n">
        <v>1398944.42</v>
      </c>
    </row>
    <row r="727" customFormat="false" ht="15" hidden="false" customHeight="false" outlineLevel="0" collapsed="false">
      <c r="A727" s="0" t="n">
        <v>726</v>
      </c>
      <c r="B727" s="0" t="n">
        <v>-18.88</v>
      </c>
      <c r="C727" s="0" t="n">
        <v>57.59</v>
      </c>
      <c r="D727" s="0" t="n">
        <v>63.26</v>
      </c>
      <c r="E727" s="0" t="n">
        <v>254350.67</v>
      </c>
      <c r="F727" s="0" t="n">
        <v>2516.48</v>
      </c>
      <c r="G727" s="0" t="n">
        <v>256867.15</v>
      </c>
      <c r="H727" s="0" t="n">
        <v>0.8012</v>
      </c>
      <c r="I727" s="0" t="n">
        <v>256867.15</v>
      </c>
    </row>
    <row r="728" customFormat="false" ht="15" hidden="false" customHeight="false" outlineLevel="0" collapsed="false">
      <c r="A728" s="0" t="n">
        <v>727</v>
      </c>
      <c r="B728" s="0" t="n">
        <v>-14.62</v>
      </c>
      <c r="C728" s="0" t="n">
        <v>-22.45</v>
      </c>
      <c r="D728" s="0" t="n">
        <v>7.3</v>
      </c>
      <c r="E728" s="0" t="n">
        <v>196943.23</v>
      </c>
      <c r="F728" s="0" t="n">
        <v>1508.72</v>
      </c>
      <c r="G728" s="0" t="n">
        <v>198451.95</v>
      </c>
      <c r="H728" s="0" t="n">
        <v>0.619</v>
      </c>
      <c r="I728" s="0" t="n">
        <v>198451.95</v>
      </c>
    </row>
    <row r="729" customFormat="false" ht="15" hidden="false" customHeight="false" outlineLevel="0" collapsed="false">
      <c r="A729" s="0" t="n">
        <v>728</v>
      </c>
      <c r="B729" s="0" t="n">
        <v>-1.02</v>
      </c>
      <c r="C729" s="0" t="n">
        <v>40.11</v>
      </c>
      <c r="D729" s="0" t="n">
        <v>-11.51</v>
      </c>
      <c r="E729" s="0" t="n">
        <v>13684.65</v>
      </c>
      <c r="F729" s="0" t="n">
        <v>7.28</v>
      </c>
      <c r="G729" s="0" t="n">
        <v>13691.94</v>
      </c>
      <c r="H729" s="0" t="n">
        <v>0.0427</v>
      </c>
      <c r="I729" s="0" t="n">
        <v>13691.94</v>
      </c>
    </row>
    <row r="730" customFormat="false" ht="15" hidden="false" customHeight="false" outlineLevel="0" collapsed="false">
      <c r="A730" s="0" t="n">
        <v>729</v>
      </c>
      <c r="B730" s="0" t="n">
        <v>-60.34</v>
      </c>
      <c r="C730" s="0" t="n">
        <v>27.11</v>
      </c>
      <c r="D730" s="0" t="n">
        <v>-8.55</v>
      </c>
      <c r="E730" s="0" t="n">
        <v>813015.55</v>
      </c>
      <c r="F730" s="0" t="n">
        <v>25711.38</v>
      </c>
      <c r="G730" s="0" t="n">
        <v>838726.93</v>
      </c>
      <c r="H730" s="0" t="n">
        <v>2.6162</v>
      </c>
      <c r="I730" s="0" t="n">
        <v>838726.93</v>
      </c>
    </row>
    <row r="731" customFormat="false" ht="15" hidden="false" customHeight="false" outlineLevel="0" collapsed="false">
      <c r="A731" s="0" t="n">
        <v>730</v>
      </c>
      <c r="B731" s="0" t="n">
        <v>-145.31</v>
      </c>
      <c r="C731" s="0" t="n">
        <v>71.08</v>
      </c>
      <c r="D731" s="0" t="n">
        <v>-13.41</v>
      </c>
      <c r="E731" s="0" t="n">
        <v>1958089.78</v>
      </c>
      <c r="F731" s="0" t="n">
        <v>149139.55</v>
      </c>
      <c r="G731" s="0" t="n">
        <v>2107229.34</v>
      </c>
      <c r="H731" s="0" t="n">
        <v>6.5729</v>
      </c>
      <c r="I731" s="0" t="n">
        <v>2107229.34</v>
      </c>
    </row>
    <row r="732" customFormat="false" ht="15" hidden="false" customHeight="false" outlineLevel="0" collapsed="false">
      <c r="A732" s="0" t="n">
        <v>731</v>
      </c>
      <c r="B732" s="0" t="n">
        <v>-114.61</v>
      </c>
      <c r="C732" s="0" t="n">
        <v>-97.56</v>
      </c>
      <c r="D732" s="0" t="n">
        <v>-23.33</v>
      </c>
      <c r="E732" s="0" t="n">
        <v>1544383.12</v>
      </c>
      <c r="F732" s="0" t="n">
        <v>92776.44</v>
      </c>
      <c r="G732" s="0" t="n">
        <v>1637159.57</v>
      </c>
      <c r="H732" s="0" t="n">
        <v>5.1067</v>
      </c>
      <c r="I732" s="0" t="n">
        <v>1637159.57</v>
      </c>
    </row>
    <row r="733" customFormat="false" ht="15" hidden="false" customHeight="false" outlineLevel="0" collapsed="false">
      <c r="A733" s="0" t="n">
        <v>732</v>
      </c>
      <c r="B733" s="0" t="n">
        <v>-86.59</v>
      </c>
      <c r="C733" s="0" t="n">
        <v>12.7</v>
      </c>
      <c r="D733" s="0" t="n">
        <v>-25.89</v>
      </c>
      <c r="E733" s="0" t="n">
        <v>1166807.83</v>
      </c>
      <c r="F733" s="0" t="n">
        <v>52957.36</v>
      </c>
      <c r="G733" s="0" t="n">
        <v>1219765.18</v>
      </c>
      <c r="H733" s="0" t="n">
        <v>3.8047</v>
      </c>
      <c r="I733" s="0" t="n">
        <v>1219765.18</v>
      </c>
    </row>
    <row r="734" customFormat="false" ht="15" hidden="false" customHeight="false" outlineLevel="0" collapsed="false">
      <c r="A734" s="0" t="n">
        <v>733</v>
      </c>
      <c r="B734" s="0" t="n">
        <v>21.46</v>
      </c>
      <c r="C734" s="0" t="n">
        <v>64.61</v>
      </c>
      <c r="D734" s="0" t="n">
        <v>9.74</v>
      </c>
      <c r="E734" s="0" t="n">
        <v>-289195</v>
      </c>
      <c r="F734" s="0" t="n">
        <v>3253.19</v>
      </c>
      <c r="G734" s="0" t="n">
        <v>-285941.82</v>
      </c>
      <c r="H734" s="0" t="n">
        <v>-0.8919</v>
      </c>
      <c r="I734" s="0" t="n">
        <v>285941.82</v>
      </c>
    </row>
    <row r="735" customFormat="false" ht="15" hidden="false" customHeight="false" outlineLevel="0" collapsed="false">
      <c r="A735" s="0" t="n">
        <v>734</v>
      </c>
      <c r="B735" s="0" t="n">
        <v>-16.84</v>
      </c>
      <c r="C735" s="0" t="n">
        <v>-60.68</v>
      </c>
      <c r="D735" s="0" t="n">
        <v>54.88</v>
      </c>
      <c r="E735" s="0" t="n">
        <v>226864.34</v>
      </c>
      <c r="F735" s="0" t="n">
        <v>2001.98</v>
      </c>
      <c r="G735" s="0" t="n">
        <v>228866.32</v>
      </c>
      <c r="H735" s="0" t="n">
        <v>0.7139</v>
      </c>
      <c r="I735" s="0" t="n">
        <v>228866.32</v>
      </c>
    </row>
    <row r="736" customFormat="false" ht="15" hidden="false" customHeight="false" outlineLevel="0" collapsed="false">
      <c r="A736" s="0" t="n">
        <v>735</v>
      </c>
      <c r="B736" s="0" t="n">
        <v>-7.1</v>
      </c>
      <c r="C736" s="0" t="n">
        <v>-80.27</v>
      </c>
      <c r="D736" s="0" t="n">
        <v>-29.86</v>
      </c>
      <c r="E736" s="0" t="n">
        <v>95642.02</v>
      </c>
      <c r="F736" s="0" t="n">
        <v>355.82</v>
      </c>
      <c r="G736" s="0" t="n">
        <v>95997.84</v>
      </c>
      <c r="H736" s="0" t="n">
        <v>0.2994</v>
      </c>
      <c r="I736" s="0" t="n">
        <v>95997.84</v>
      </c>
    </row>
    <row r="737" customFormat="false" ht="15" hidden="false" customHeight="false" outlineLevel="0" collapsed="false">
      <c r="A737" s="0" t="n">
        <v>736</v>
      </c>
      <c r="B737" s="0" t="n">
        <v>-144.36</v>
      </c>
      <c r="C737" s="0" t="n">
        <v>52.39</v>
      </c>
      <c r="D737" s="0" t="n">
        <v>-6.77</v>
      </c>
      <c r="E737" s="0" t="n">
        <v>1945268.46</v>
      </c>
      <c r="F737" s="0" t="n">
        <v>147192.85</v>
      </c>
      <c r="G737" s="0" t="n">
        <v>2092461.32</v>
      </c>
      <c r="H737" s="0" t="n">
        <v>6.5268</v>
      </c>
      <c r="I737" s="0" t="n">
        <v>2092461.32</v>
      </c>
    </row>
    <row r="738" customFormat="false" ht="15" hidden="false" customHeight="false" outlineLevel="0" collapsed="false">
      <c r="A738" s="0" t="n">
        <v>737</v>
      </c>
      <c r="B738" s="0" t="n">
        <v>8.08</v>
      </c>
      <c r="C738" s="0" t="n">
        <v>38.51</v>
      </c>
      <c r="D738" s="0" t="n">
        <v>-3.71</v>
      </c>
      <c r="E738" s="0" t="n">
        <v>-108859.26</v>
      </c>
      <c r="F738" s="0" t="n">
        <v>460.95</v>
      </c>
      <c r="G738" s="0" t="n">
        <v>-108398.31</v>
      </c>
      <c r="H738" s="0" t="n">
        <v>-0.3381</v>
      </c>
      <c r="I738" s="0" t="n">
        <v>108398.31</v>
      </c>
    </row>
    <row r="739" customFormat="false" ht="15" hidden="false" customHeight="false" outlineLevel="0" collapsed="false">
      <c r="A739" s="0" t="n">
        <v>738</v>
      </c>
      <c r="B739" s="0" t="n">
        <v>47</v>
      </c>
      <c r="C739" s="0" t="n">
        <v>-35.97</v>
      </c>
      <c r="D739" s="0" t="n">
        <v>33.89</v>
      </c>
      <c r="E739" s="0" t="n">
        <v>-633271.94</v>
      </c>
      <c r="F739" s="0" t="n">
        <v>15599.41</v>
      </c>
      <c r="G739" s="0" t="n">
        <v>-617672.53</v>
      </c>
      <c r="H739" s="0" t="n">
        <v>-1.9267</v>
      </c>
      <c r="I739" s="0" t="n">
        <v>617672.53</v>
      </c>
    </row>
    <row r="740" customFormat="false" ht="15" hidden="false" customHeight="false" outlineLevel="0" collapsed="false">
      <c r="A740" s="0" t="n">
        <v>739</v>
      </c>
      <c r="B740" s="0" t="n">
        <v>90.41</v>
      </c>
      <c r="C740" s="0" t="n">
        <v>110.42</v>
      </c>
      <c r="D740" s="0" t="n">
        <v>-14.05</v>
      </c>
      <c r="E740" s="0" t="n">
        <v>-1218317.36</v>
      </c>
      <c r="F740" s="0" t="n">
        <v>57736.24</v>
      </c>
      <c r="G740" s="0" t="n">
        <v>-1160581.12</v>
      </c>
      <c r="H740" s="0" t="n">
        <v>-3.6201</v>
      </c>
      <c r="I740" s="0" t="n">
        <v>1160581.12</v>
      </c>
    </row>
    <row r="741" customFormat="false" ht="15" hidden="false" customHeight="false" outlineLevel="0" collapsed="false">
      <c r="A741" s="0" t="n">
        <v>740</v>
      </c>
      <c r="B741" s="0" t="n">
        <v>-23.07</v>
      </c>
      <c r="C741" s="0" t="n">
        <v>-18.96</v>
      </c>
      <c r="D741" s="0" t="n">
        <v>27.05</v>
      </c>
      <c r="E741" s="0" t="n">
        <v>310858.84</v>
      </c>
      <c r="F741" s="0" t="n">
        <v>3758.84</v>
      </c>
      <c r="G741" s="0" t="n">
        <v>314617.68</v>
      </c>
      <c r="H741" s="0" t="n">
        <v>0.9814</v>
      </c>
      <c r="I741" s="0" t="n">
        <v>314617.68</v>
      </c>
    </row>
    <row r="742" customFormat="false" ht="15" hidden="false" customHeight="false" outlineLevel="0" collapsed="false">
      <c r="A742" s="0" t="n">
        <v>741</v>
      </c>
      <c r="B742" s="0" t="n">
        <v>-7.08</v>
      </c>
      <c r="C742" s="0" t="n">
        <v>-42.99</v>
      </c>
      <c r="D742" s="0" t="n">
        <v>-16.43</v>
      </c>
      <c r="E742" s="0" t="n">
        <v>95457.97</v>
      </c>
      <c r="F742" s="0" t="n">
        <v>354.45</v>
      </c>
      <c r="G742" s="0" t="n">
        <v>95812.42</v>
      </c>
      <c r="H742" s="0" t="n">
        <v>0.2989</v>
      </c>
      <c r="I742" s="0" t="n">
        <v>95812.42</v>
      </c>
    </row>
    <row r="743" customFormat="false" ht="15" hidden="false" customHeight="false" outlineLevel="0" collapsed="false">
      <c r="A743" s="0" t="n">
        <v>742</v>
      </c>
      <c r="B743" s="0" t="n">
        <v>-34.79</v>
      </c>
      <c r="C743" s="0" t="n">
        <v>-40.05</v>
      </c>
      <c r="D743" s="0" t="n">
        <v>20.36</v>
      </c>
      <c r="E743" s="0" t="n">
        <v>468809.88</v>
      </c>
      <c r="F743" s="0" t="n">
        <v>8549.11</v>
      </c>
      <c r="G743" s="0" t="n">
        <v>477358.99</v>
      </c>
      <c r="H743" s="0" t="n">
        <v>1.489</v>
      </c>
      <c r="I743" s="0" t="n">
        <v>477358.99</v>
      </c>
    </row>
    <row r="744" customFormat="false" ht="15" hidden="false" customHeight="false" outlineLevel="0" collapsed="false">
      <c r="A744" s="0" t="n">
        <v>743</v>
      </c>
      <c r="B744" s="0" t="n">
        <v>23.83</v>
      </c>
      <c r="C744" s="0" t="n">
        <v>-88.56</v>
      </c>
      <c r="D744" s="0" t="n">
        <v>14.27</v>
      </c>
      <c r="E744" s="0" t="n">
        <v>-321058.6</v>
      </c>
      <c r="F744" s="0" t="n">
        <v>4009.56</v>
      </c>
      <c r="G744" s="0" t="n">
        <v>-317049.05</v>
      </c>
      <c r="H744" s="0" t="n">
        <v>-0.9889</v>
      </c>
      <c r="I744" s="0" t="n">
        <v>317049.05</v>
      </c>
    </row>
    <row r="745" customFormat="false" ht="15" hidden="false" customHeight="false" outlineLevel="0" collapsed="false">
      <c r="A745" s="0" t="n">
        <v>744</v>
      </c>
      <c r="B745" s="0" t="n">
        <v>-20.96</v>
      </c>
      <c r="C745" s="0" t="n">
        <v>-34.48</v>
      </c>
      <c r="D745" s="0" t="n">
        <v>-34.36</v>
      </c>
      <c r="E745" s="0" t="n">
        <v>282436.01</v>
      </c>
      <c r="F745" s="0" t="n">
        <v>3102.9</v>
      </c>
      <c r="G745" s="0" t="n">
        <v>285538.91</v>
      </c>
      <c r="H745" s="0" t="n">
        <v>0.8907</v>
      </c>
      <c r="I745" s="0" t="n">
        <v>285538.91</v>
      </c>
    </row>
    <row r="746" customFormat="false" ht="15" hidden="false" customHeight="false" outlineLevel="0" collapsed="false">
      <c r="A746" s="0" t="n">
        <v>745</v>
      </c>
      <c r="B746" s="0" t="n">
        <v>10.65</v>
      </c>
      <c r="C746" s="0" t="n">
        <v>4.22</v>
      </c>
      <c r="D746" s="0" t="n">
        <v>15.68</v>
      </c>
      <c r="E746" s="0" t="n">
        <v>-143544.85</v>
      </c>
      <c r="F746" s="0" t="n">
        <v>801.5</v>
      </c>
      <c r="G746" s="0" t="n">
        <v>-142743.35</v>
      </c>
      <c r="H746" s="0" t="n">
        <v>-0.4452</v>
      </c>
      <c r="I746" s="0" t="n">
        <v>142743.35</v>
      </c>
    </row>
    <row r="747" customFormat="false" ht="15" hidden="false" customHeight="false" outlineLevel="0" collapsed="false">
      <c r="A747" s="0" t="n">
        <v>746</v>
      </c>
      <c r="B747" s="0" t="n">
        <v>-69.73</v>
      </c>
      <c r="C747" s="0" t="n">
        <v>16.94</v>
      </c>
      <c r="D747" s="0" t="n">
        <v>-23.03</v>
      </c>
      <c r="E747" s="0" t="n">
        <v>939632.54</v>
      </c>
      <c r="F747" s="0" t="n">
        <v>34343.44</v>
      </c>
      <c r="G747" s="0" t="n">
        <v>973975.98</v>
      </c>
      <c r="H747" s="0" t="n">
        <v>3.038</v>
      </c>
      <c r="I747" s="0" t="n">
        <v>973975.98</v>
      </c>
    </row>
    <row r="748" customFormat="false" ht="15" hidden="false" customHeight="false" outlineLevel="0" collapsed="false">
      <c r="A748" s="0" t="n">
        <v>747</v>
      </c>
      <c r="B748" s="0" t="n">
        <v>29.31</v>
      </c>
      <c r="C748" s="0" t="n">
        <v>74.04</v>
      </c>
      <c r="D748" s="0" t="n">
        <v>14.71</v>
      </c>
      <c r="E748" s="0" t="n">
        <v>-394902.87</v>
      </c>
      <c r="F748" s="0" t="n">
        <v>6066.08</v>
      </c>
      <c r="G748" s="0" t="n">
        <v>-388836.79</v>
      </c>
      <c r="H748" s="0" t="n">
        <v>-1.2129</v>
      </c>
      <c r="I748" s="0" t="n">
        <v>388836.79</v>
      </c>
    </row>
    <row r="749" customFormat="false" ht="15" hidden="false" customHeight="false" outlineLevel="0" collapsed="false">
      <c r="A749" s="0" t="n">
        <v>748</v>
      </c>
      <c r="B749" s="0" t="n">
        <v>65.26</v>
      </c>
      <c r="C749" s="0" t="n">
        <v>-1.8</v>
      </c>
      <c r="D749" s="0" t="n">
        <v>-58.34</v>
      </c>
      <c r="E749" s="0" t="n">
        <v>-879384.31</v>
      </c>
      <c r="F749" s="0" t="n">
        <v>30080.5</v>
      </c>
      <c r="G749" s="0" t="n">
        <v>-849303.81</v>
      </c>
      <c r="H749" s="0" t="n">
        <v>-2.6492</v>
      </c>
      <c r="I749" s="0" t="n">
        <v>849303.81</v>
      </c>
    </row>
    <row r="750" customFormat="false" ht="15" hidden="false" customHeight="false" outlineLevel="0" collapsed="false">
      <c r="A750" s="0" t="n">
        <v>749</v>
      </c>
      <c r="B750" s="0" t="n">
        <v>12.41</v>
      </c>
      <c r="C750" s="0" t="n">
        <v>-11.67</v>
      </c>
      <c r="D750" s="0" t="n">
        <v>-15.12</v>
      </c>
      <c r="E750" s="0" t="n">
        <v>-167195.2</v>
      </c>
      <c r="F750" s="0" t="n">
        <v>1087.36</v>
      </c>
      <c r="G750" s="0" t="n">
        <v>-166107.84</v>
      </c>
      <c r="H750" s="0" t="n">
        <v>-0.5181</v>
      </c>
      <c r="I750" s="0" t="n">
        <v>166107.84</v>
      </c>
    </row>
    <row r="751" customFormat="false" ht="15" hidden="false" customHeight="false" outlineLevel="0" collapsed="false">
      <c r="A751" s="0" t="n">
        <v>750</v>
      </c>
      <c r="B751" s="0" t="n">
        <v>106.86</v>
      </c>
      <c r="C751" s="0" t="n">
        <v>-15.04</v>
      </c>
      <c r="D751" s="0" t="n">
        <v>-22.22</v>
      </c>
      <c r="E751" s="0" t="n">
        <v>-1439892.61</v>
      </c>
      <c r="F751" s="0" t="n">
        <v>80646.93</v>
      </c>
      <c r="G751" s="0" t="n">
        <v>-1359245.68</v>
      </c>
      <c r="H751" s="0" t="n">
        <v>-4.2398</v>
      </c>
      <c r="I751" s="0" t="n">
        <v>1359245.68</v>
      </c>
    </row>
    <row r="752" customFormat="false" ht="15" hidden="false" customHeight="false" outlineLevel="0" collapsed="false">
      <c r="A752" s="0" t="n">
        <v>751</v>
      </c>
      <c r="B752" s="0" t="n">
        <v>75.23</v>
      </c>
      <c r="C752" s="0" t="n">
        <v>-53.4</v>
      </c>
      <c r="D752" s="0" t="n">
        <v>-14.21</v>
      </c>
      <c r="E752" s="0" t="n">
        <v>-1013698.93</v>
      </c>
      <c r="F752" s="0" t="n">
        <v>39971.05</v>
      </c>
      <c r="G752" s="0" t="n">
        <v>-973727.88</v>
      </c>
      <c r="H752" s="0" t="n">
        <v>-3.0373</v>
      </c>
      <c r="I752" s="0" t="n">
        <v>973727.88</v>
      </c>
    </row>
    <row r="753" customFormat="false" ht="15" hidden="false" customHeight="false" outlineLevel="0" collapsed="false">
      <c r="A753" s="0" t="n">
        <v>752</v>
      </c>
      <c r="B753" s="0" t="n">
        <v>-51.14</v>
      </c>
      <c r="C753" s="0" t="n">
        <v>-33.59</v>
      </c>
      <c r="D753" s="0" t="n">
        <v>75.54</v>
      </c>
      <c r="E753" s="0" t="n">
        <v>689079.25</v>
      </c>
      <c r="F753" s="0" t="n">
        <v>18469.96</v>
      </c>
      <c r="G753" s="0" t="n">
        <v>707549.21</v>
      </c>
      <c r="H753" s="0" t="n">
        <v>2.207</v>
      </c>
      <c r="I753" s="0" t="n">
        <v>707549.21</v>
      </c>
    </row>
    <row r="754" customFormat="false" ht="15" hidden="false" customHeight="false" outlineLevel="0" collapsed="false">
      <c r="A754" s="0" t="n">
        <v>753</v>
      </c>
      <c r="B754" s="0" t="n">
        <v>170</v>
      </c>
      <c r="C754" s="0" t="n">
        <v>32.92</v>
      </c>
      <c r="D754" s="0" t="n">
        <v>27.35</v>
      </c>
      <c r="E754" s="0" t="n">
        <v>-2290785.24</v>
      </c>
      <c r="F754" s="0" t="n">
        <v>204125.09</v>
      </c>
      <c r="G754" s="0" t="n">
        <v>-2086660.15</v>
      </c>
      <c r="H754" s="0" t="n">
        <v>-6.5087</v>
      </c>
      <c r="I754" s="0" t="n">
        <v>2086660.15</v>
      </c>
    </row>
    <row r="755" customFormat="false" ht="15" hidden="false" customHeight="false" outlineLevel="0" collapsed="false">
      <c r="A755" s="0" t="n">
        <v>754</v>
      </c>
      <c r="B755" s="0" t="n">
        <v>130.07</v>
      </c>
      <c r="C755" s="0" t="n">
        <v>67.46</v>
      </c>
      <c r="D755" s="0" t="n">
        <v>-57.15</v>
      </c>
      <c r="E755" s="0" t="n">
        <v>-1752682.92</v>
      </c>
      <c r="F755" s="0" t="n">
        <v>119490.77</v>
      </c>
      <c r="G755" s="0" t="n">
        <v>-1633192.16</v>
      </c>
      <c r="H755" s="0" t="n">
        <v>-5.0943</v>
      </c>
      <c r="I755" s="0" t="n">
        <v>1633192.16</v>
      </c>
    </row>
    <row r="756" customFormat="false" ht="15" hidden="false" customHeight="false" outlineLevel="0" collapsed="false">
      <c r="A756" s="0" t="n">
        <v>755</v>
      </c>
      <c r="B756" s="0" t="n">
        <v>25.45</v>
      </c>
      <c r="C756" s="0" t="n">
        <v>80.57</v>
      </c>
      <c r="D756" s="0" t="n">
        <v>45.96</v>
      </c>
      <c r="E756" s="0" t="n">
        <v>-342916.49</v>
      </c>
      <c r="F756" s="0" t="n">
        <v>4574.09</v>
      </c>
      <c r="G756" s="0" t="n">
        <v>-338342.4</v>
      </c>
      <c r="H756" s="0" t="n">
        <v>-1.0554</v>
      </c>
      <c r="I756" s="0" t="n">
        <v>338342.4</v>
      </c>
    </row>
    <row r="757" customFormat="false" ht="15" hidden="false" customHeight="false" outlineLevel="0" collapsed="false">
      <c r="A757" s="0" t="n">
        <v>756</v>
      </c>
      <c r="B757" s="0" t="n">
        <v>-80.31</v>
      </c>
      <c r="C757" s="0" t="n">
        <v>50.12</v>
      </c>
      <c r="D757" s="0" t="n">
        <v>-37.88</v>
      </c>
      <c r="E757" s="0" t="n">
        <v>1082237.55</v>
      </c>
      <c r="F757" s="0" t="n">
        <v>45558.86</v>
      </c>
      <c r="G757" s="0" t="n">
        <v>1127796.4</v>
      </c>
      <c r="H757" s="0" t="n">
        <v>3.5178</v>
      </c>
      <c r="I757" s="0" t="n">
        <v>1127796.4</v>
      </c>
    </row>
    <row r="758" customFormat="false" ht="15" hidden="false" customHeight="false" outlineLevel="0" collapsed="false">
      <c r="A758" s="0" t="n">
        <v>757</v>
      </c>
      <c r="B758" s="0" t="n">
        <v>-55.78</v>
      </c>
      <c r="C758" s="0" t="n">
        <v>87.52</v>
      </c>
      <c r="D758" s="0" t="n">
        <v>15.06</v>
      </c>
      <c r="E758" s="0" t="n">
        <v>751667.14</v>
      </c>
      <c r="F758" s="0" t="n">
        <v>21977.52</v>
      </c>
      <c r="G758" s="0" t="n">
        <v>773644.67</v>
      </c>
      <c r="H758" s="0" t="n">
        <v>2.4132</v>
      </c>
      <c r="I758" s="0" t="n">
        <v>773644.67</v>
      </c>
    </row>
    <row r="759" customFormat="false" ht="15" hidden="false" customHeight="false" outlineLevel="0" collapsed="false">
      <c r="A759" s="0" t="n">
        <v>758</v>
      </c>
      <c r="B759" s="0" t="n">
        <v>-30.81</v>
      </c>
      <c r="C759" s="0" t="n">
        <v>49.44</v>
      </c>
      <c r="D759" s="0" t="n">
        <v>4.04</v>
      </c>
      <c r="E759" s="0" t="n">
        <v>415139.41</v>
      </c>
      <c r="F759" s="0" t="n">
        <v>6703.72</v>
      </c>
      <c r="G759" s="0" t="n">
        <v>421843.13</v>
      </c>
      <c r="H759" s="0" t="n">
        <v>1.3158</v>
      </c>
      <c r="I759" s="0" t="n">
        <v>421843.13</v>
      </c>
    </row>
    <row r="760" customFormat="false" ht="15" hidden="false" customHeight="false" outlineLevel="0" collapsed="false">
      <c r="A760" s="0" t="n">
        <v>759</v>
      </c>
      <c r="B760" s="0" t="n">
        <v>-100.07</v>
      </c>
      <c r="C760" s="0" t="n">
        <v>26.52</v>
      </c>
      <c r="D760" s="0" t="n">
        <v>-17.31</v>
      </c>
      <c r="E760" s="0" t="n">
        <v>1348461.51</v>
      </c>
      <c r="F760" s="0" t="n">
        <v>70730.18</v>
      </c>
      <c r="G760" s="0" t="n">
        <v>1419191.68</v>
      </c>
      <c r="H760" s="0" t="n">
        <v>4.4268</v>
      </c>
      <c r="I760" s="0" t="n">
        <v>1419191.68</v>
      </c>
    </row>
    <row r="761" customFormat="false" ht="15" hidden="false" customHeight="false" outlineLevel="0" collapsed="false">
      <c r="A761" s="0" t="n">
        <v>760</v>
      </c>
      <c r="B761" s="0" t="n">
        <v>81.24</v>
      </c>
      <c r="C761" s="0" t="n">
        <v>72.48</v>
      </c>
      <c r="D761" s="0" t="n">
        <v>21.08</v>
      </c>
      <c r="E761" s="0" t="n">
        <v>-1094694.58</v>
      </c>
      <c r="F761" s="0" t="n">
        <v>46613.7</v>
      </c>
      <c r="G761" s="0" t="n">
        <v>-1048080.88</v>
      </c>
      <c r="H761" s="0" t="n">
        <v>-3.2692</v>
      </c>
      <c r="I761" s="0" t="n">
        <v>1048080.88</v>
      </c>
    </row>
    <row r="762" customFormat="false" ht="15" hidden="false" customHeight="false" outlineLevel="0" collapsed="false">
      <c r="A762" s="0" t="n">
        <v>761</v>
      </c>
      <c r="B762" s="0" t="n">
        <v>-45.74</v>
      </c>
      <c r="C762" s="0" t="n">
        <v>110.91</v>
      </c>
      <c r="D762" s="0" t="n">
        <v>-11.43</v>
      </c>
      <c r="E762" s="0" t="n">
        <v>616330.2</v>
      </c>
      <c r="F762" s="0" t="n">
        <v>14775.92</v>
      </c>
      <c r="G762" s="0" t="n">
        <v>631106.12</v>
      </c>
      <c r="H762" s="0" t="n">
        <v>1.9686</v>
      </c>
      <c r="I762" s="0" t="n">
        <v>631106.12</v>
      </c>
    </row>
    <row r="763" customFormat="false" ht="15" hidden="false" customHeight="false" outlineLevel="0" collapsed="false">
      <c r="A763" s="0" t="n">
        <v>762</v>
      </c>
      <c r="B763" s="0" t="n">
        <v>-120.12</v>
      </c>
      <c r="C763" s="0" t="n">
        <v>36.19</v>
      </c>
      <c r="D763" s="0" t="n">
        <v>15.22</v>
      </c>
      <c r="E763" s="0" t="n">
        <v>1618663.37</v>
      </c>
      <c r="F763" s="0" t="n">
        <v>101915.61</v>
      </c>
      <c r="G763" s="0" t="n">
        <v>1720578.98</v>
      </c>
      <c r="H763" s="0" t="n">
        <v>5.3669</v>
      </c>
      <c r="I763" s="0" t="n">
        <v>1720578.98</v>
      </c>
    </row>
    <row r="764" customFormat="false" ht="15" hidden="false" customHeight="false" outlineLevel="0" collapsed="false">
      <c r="A764" s="0" t="n">
        <v>763</v>
      </c>
      <c r="B764" s="0" t="n">
        <v>51.4</v>
      </c>
      <c r="C764" s="0" t="n">
        <v>-96.87</v>
      </c>
      <c r="D764" s="0" t="n">
        <v>66.05</v>
      </c>
      <c r="E764" s="0" t="n">
        <v>-692672.73</v>
      </c>
      <c r="F764" s="0" t="n">
        <v>18663.1</v>
      </c>
      <c r="G764" s="0" t="n">
        <v>-674009.62</v>
      </c>
      <c r="H764" s="0" t="n">
        <v>-2.1024</v>
      </c>
      <c r="I764" s="0" t="n">
        <v>674009.62</v>
      </c>
    </row>
    <row r="765" customFormat="false" ht="15" hidden="false" customHeight="false" outlineLevel="0" collapsed="false">
      <c r="A765" s="0" t="n">
        <v>764</v>
      </c>
      <c r="B765" s="0" t="n">
        <v>77.89</v>
      </c>
      <c r="C765" s="0" t="n">
        <v>-24.3</v>
      </c>
      <c r="D765" s="0" t="n">
        <v>41.24</v>
      </c>
      <c r="E765" s="0" t="n">
        <v>-1049626.38</v>
      </c>
      <c r="F765" s="0" t="n">
        <v>42854.57</v>
      </c>
      <c r="G765" s="0" t="n">
        <v>-1006771.82</v>
      </c>
      <c r="H765" s="0" t="n">
        <v>-3.1403</v>
      </c>
      <c r="I765" s="0" t="n">
        <v>1006771.82</v>
      </c>
    </row>
    <row r="766" customFormat="false" ht="15" hidden="false" customHeight="false" outlineLevel="0" collapsed="false">
      <c r="A766" s="0" t="n">
        <v>765</v>
      </c>
      <c r="B766" s="0" t="n">
        <v>-95.55</v>
      </c>
      <c r="C766" s="0" t="n">
        <v>-25.17</v>
      </c>
      <c r="D766" s="0" t="n">
        <v>-63.61</v>
      </c>
      <c r="E766" s="0" t="n">
        <v>1287590.13</v>
      </c>
      <c r="F766" s="0" t="n">
        <v>64488.59</v>
      </c>
      <c r="G766" s="0" t="n">
        <v>1352078.73</v>
      </c>
      <c r="H766" s="0" t="n">
        <v>4.2174</v>
      </c>
      <c r="I766" s="0" t="n">
        <v>1352078.73</v>
      </c>
    </row>
    <row r="767" customFormat="false" ht="15" hidden="false" customHeight="false" outlineLevel="0" collapsed="false">
      <c r="A767" s="0" t="n">
        <v>766</v>
      </c>
      <c r="B767" s="0" t="n">
        <v>23.49</v>
      </c>
      <c r="C767" s="0" t="n">
        <v>22.59</v>
      </c>
      <c r="D767" s="0" t="n">
        <v>52.47</v>
      </c>
      <c r="E767" s="0" t="n">
        <v>-316466.5</v>
      </c>
      <c r="F767" s="0" t="n">
        <v>3895.68</v>
      </c>
      <c r="G767" s="0" t="n">
        <v>-312570.83</v>
      </c>
      <c r="H767" s="0" t="n">
        <v>-0.975</v>
      </c>
      <c r="I767" s="0" t="n">
        <v>312570.83</v>
      </c>
    </row>
    <row r="768" customFormat="false" ht="15" hidden="false" customHeight="false" outlineLevel="0" collapsed="false">
      <c r="A768" s="0" t="n">
        <v>767</v>
      </c>
      <c r="B768" s="0" t="n">
        <v>48.6</v>
      </c>
      <c r="C768" s="0" t="n">
        <v>68.38</v>
      </c>
      <c r="D768" s="0" t="n">
        <v>-38.29</v>
      </c>
      <c r="E768" s="0" t="n">
        <v>-654935.59</v>
      </c>
      <c r="F768" s="0" t="n">
        <v>16684.95</v>
      </c>
      <c r="G768" s="0" t="n">
        <v>-638250.65</v>
      </c>
      <c r="H768" s="0" t="n">
        <v>-1.9908</v>
      </c>
      <c r="I768" s="0" t="n">
        <v>638250.65</v>
      </c>
    </row>
    <row r="769" customFormat="false" ht="15" hidden="false" customHeight="false" outlineLevel="0" collapsed="false">
      <c r="A769" s="0" t="n">
        <v>768</v>
      </c>
      <c r="B769" s="0" t="n">
        <v>149.96</v>
      </c>
      <c r="C769" s="0" t="n">
        <v>70.34</v>
      </c>
      <c r="D769" s="0" t="n">
        <v>31.46</v>
      </c>
      <c r="E769" s="0" t="n">
        <v>-2020721.29</v>
      </c>
      <c r="F769" s="0" t="n">
        <v>158832.9</v>
      </c>
      <c r="G769" s="0" t="n">
        <v>-1861888.39</v>
      </c>
      <c r="H769" s="0" t="n">
        <v>-5.8076</v>
      </c>
      <c r="I769" s="0" t="n">
        <v>1861888.39</v>
      </c>
    </row>
    <row r="770" customFormat="false" ht="15" hidden="false" customHeight="false" outlineLevel="0" collapsed="false">
      <c r="A770" s="0" t="n">
        <v>769</v>
      </c>
      <c r="B770" s="0" t="n">
        <v>61.22</v>
      </c>
      <c r="C770" s="0" t="n">
        <v>-37.75</v>
      </c>
      <c r="D770" s="0" t="n">
        <v>44.99</v>
      </c>
      <c r="E770" s="0" t="n">
        <v>-824976.4</v>
      </c>
      <c r="F770" s="0" t="n">
        <v>26473.46</v>
      </c>
      <c r="G770" s="0" t="n">
        <v>-798502.94</v>
      </c>
      <c r="H770" s="0" t="n">
        <v>-2.4907</v>
      </c>
      <c r="I770" s="0" t="n">
        <v>798502.94</v>
      </c>
    </row>
    <row r="771" customFormat="false" ht="15" hidden="false" customHeight="false" outlineLevel="0" collapsed="false">
      <c r="A771" s="0" t="n">
        <v>770</v>
      </c>
      <c r="B771" s="0" t="n">
        <v>-16.36</v>
      </c>
      <c r="C771" s="0" t="n">
        <v>8.37</v>
      </c>
      <c r="D771" s="0" t="n">
        <v>8.9</v>
      </c>
      <c r="E771" s="0" t="n">
        <v>220502.56</v>
      </c>
      <c r="F771" s="0" t="n">
        <v>1891.28</v>
      </c>
      <c r="G771" s="0" t="n">
        <v>222393.84</v>
      </c>
      <c r="H771" s="0" t="n">
        <v>0.6937</v>
      </c>
      <c r="I771" s="0" t="n">
        <v>222393.84</v>
      </c>
    </row>
    <row r="772" customFormat="false" ht="15" hidden="false" customHeight="false" outlineLevel="0" collapsed="false">
      <c r="A772" s="0" t="n">
        <v>771</v>
      </c>
      <c r="B772" s="0" t="n">
        <v>-69.79</v>
      </c>
      <c r="C772" s="0" t="n">
        <v>44.65</v>
      </c>
      <c r="D772" s="0" t="n">
        <v>14.11</v>
      </c>
      <c r="E772" s="0" t="n">
        <v>940425.84</v>
      </c>
      <c r="F772" s="0" t="n">
        <v>34401.45</v>
      </c>
      <c r="G772" s="0" t="n">
        <v>974827.29</v>
      </c>
      <c r="H772" s="0" t="n">
        <v>3.0407</v>
      </c>
      <c r="I772" s="0" t="n">
        <v>974827.29</v>
      </c>
    </row>
    <row r="773" customFormat="false" ht="15" hidden="false" customHeight="false" outlineLevel="0" collapsed="false">
      <c r="A773" s="0" t="n">
        <v>772</v>
      </c>
      <c r="B773" s="0" t="n">
        <v>-16.91</v>
      </c>
      <c r="C773" s="0" t="n">
        <v>-45.24</v>
      </c>
      <c r="D773" s="0" t="n">
        <v>-2.64</v>
      </c>
      <c r="E773" s="0" t="n">
        <v>227810.81</v>
      </c>
      <c r="F773" s="0" t="n">
        <v>2018.72</v>
      </c>
      <c r="G773" s="0" t="n">
        <v>229829.53</v>
      </c>
      <c r="H773" s="0" t="n">
        <v>0.7169</v>
      </c>
      <c r="I773" s="0" t="n">
        <v>229829.53</v>
      </c>
    </row>
    <row r="774" customFormat="false" ht="15" hidden="false" customHeight="false" outlineLevel="0" collapsed="false">
      <c r="A774" s="0" t="n">
        <v>773</v>
      </c>
      <c r="B774" s="0" t="n">
        <v>-51.88</v>
      </c>
      <c r="C774" s="0" t="n">
        <v>11.45</v>
      </c>
      <c r="D774" s="0" t="n">
        <v>-3.86</v>
      </c>
      <c r="E774" s="0" t="n">
        <v>699125.18</v>
      </c>
      <c r="F774" s="0" t="n">
        <v>19012.43</v>
      </c>
      <c r="G774" s="0" t="n">
        <v>718137.6</v>
      </c>
      <c r="H774" s="0" t="n">
        <v>2.24</v>
      </c>
      <c r="I774" s="0" t="n">
        <v>718137.6</v>
      </c>
    </row>
    <row r="775" customFormat="false" ht="15" hidden="false" customHeight="false" outlineLevel="0" collapsed="false">
      <c r="A775" s="0" t="n">
        <v>774</v>
      </c>
      <c r="B775" s="0" t="n">
        <v>-73.86</v>
      </c>
      <c r="C775" s="0" t="n">
        <v>36.9</v>
      </c>
      <c r="D775" s="0" t="n">
        <v>20.48</v>
      </c>
      <c r="E775" s="0" t="n">
        <v>995254.53</v>
      </c>
      <c r="F775" s="0" t="n">
        <v>38529.73</v>
      </c>
      <c r="G775" s="0" t="n">
        <v>1033784.26</v>
      </c>
      <c r="H775" s="0" t="n">
        <v>3.2246</v>
      </c>
      <c r="I775" s="0" t="n">
        <v>1033784.26</v>
      </c>
    </row>
    <row r="776" customFormat="false" ht="15" hidden="false" customHeight="false" outlineLevel="0" collapsed="false">
      <c r="A776" s="0" t="n">
        <v>775</v>
      </c>
      <c r="B776" s="0" t="n">
        <v>-43.77</v>
      </c>
      <c r="C776" s="0" t="n">
        <v>63.68</v>
      </c>
      <c r="D776" s="0" t="n">
        <v>23.22</v>
      </c>
      <c r="E776" s="0" t="n">
        <v>589824.76</v>
      </c>
      <c r="F776" s="0" t="n">
        <v>13532.36</v>
      </c>
      <c r="G776" s="0" t="n">
        <v>603357.12</v>
      </c>
      <c r="H776" s="0" t="n">
        <v>1.882</v>
      </c>
      <c r="I776" s="0" t="n">
        <v>603357.12</v>
      </c>
    </row>
    <row r="777" customFormat="false" ht="15" hidden="false" customHeight="false" outlineLevel="0" collapsed="false">
      <c r="A777" s="0" t="n">
        <v>776</v>
      </c>
      <c r="B777" s="0" t="n">
        <v>146.14</v>
      </c>
      <c r="C777" s="0" t="n">
        <v>24.87</v>
      </c>
      <c r="D777" s="0" t="n">
        <v>-91.05</v>
      </c>
      <c r="E777" s="0" t="n">
        <v>-1969197.08</v>
      </c>
      <c r="F777" s="0" t="n">
        <v>150836.34</v>
      </c>
      <c r="G777" s="0" t="n">
        <v>-1818360.74</v>
      </c>
      <c r="H777" s="0" t="n">
        <v>-5.6719</v>
      </c>
      <c r="I777" s="0" t="n">
        <v>1818360.74</v>
      </c>
    </row>
    <row r="778" customFormat="false" ht="15" hidden="false" customHeight="false" outlineLevel="0" collapsed="false">
      <c r="A778" s="0" t="n">
        <v>777</v>
      </c>
      <c r="B778" s="0" t="n">
        <v>-20.7</v>
      </c>
      <c r="C778" s="0" t="n">
        <v>-19.03</v>
      </c>
      <c r="D778" s="0" t="n">
        <v>-53.96</v>
      </c>
      <c r="E778" s="0" t="n">
        <v>278926.23</v>
      </c>
      <c r="F778" s="0" t="n">
        <v>3026.26</v>
      </c>
      <c r="G778" s="0" t="n">
        <v>281952.49</v>
      </c>
      <c r="H778" s="0" t="n">
        <v>0.8795</v>
      </c>
      <c r="I778" s="0" t="n">
        <v>281952.49</v>
      </c>
    </row>
    <row r="779" customFormat="false" ht="15" hidden="false" customHeight="false" outlineLevel="0" collapsed="false">
      <c r="A779" s="0" t="n">
        <v>778</v>
      </c>
      <c r="B779" s="0" t="n">
        <v>41.78</v>
      </c>
      <c r="C779" s="0" t="n">
        <v>-52.2</v>
      </c>
      <c r="D779" s="0" t="n">
        <v>28.64</v>
      </c>
      <c r="E779" s="0" t="n">
        <v>-562995.28</v>
      </c>
      <c r="F779" s="0" t="n">
        <v>12329.26</v>
      </c>
      <c r="G779" s="0" t="n">
        <v>-550666.02</v>
      </c>
      <c r="H779" s="0" t="n">
        <v>-1.7176</v>
      </c>
      <c r="I779" s="0" t="n">
        <v>550666.02</v>
      </c>
    </row>
    <row r="780" customFormat="false" ht="15" hidden="false" customHeight="false" outlineLevel="0" collapsed="false">
      <c r="A780" s="0" t="n">
        <v>779</v>
      </c>
      <c r="B780" s="0" t="n">
        <v>-14.38</v>
      </c>
      <c r="C780" s="0" t="n">
        <v>2.58</v>
      </c>
      <c r="D780" s="0" t="n">
        <v>11.38</v>
      </c>
      <c r="E780" s="0" t="n">
        <v>193746.25</v>
      </c>
      <c r="F780" s="0" t="n">
        <v>1460.14</v>
      </c>
      <c r="G780" s="0" t="n">
        <v>195206.39</v>
      </c>
      <c r="H780" s="0" t="n">
        <v>0.6089</v>
      </c>
      <c r="I780" s="0" t="n">
        <v>195206.39</v>
      </c>
    </row>
    <row r="781" customFormat="false" ht="15" hidden="false" customHeight="false" outlineLevel="0" collapsed="false">
      <c r="A781" s="0" t="n">
        <v>780</v>
      </c>
      <c r="B781" s="0" t="n">
        <v>34.13</v>
      </c>
      <c r="C781" s="0" t="n">
        <v>-68.95</v>
      </c>
      <c r="D781" s="0" t="n">
        <v>-50.92</v>
      </c>
      <c r="E781" s="0" t="n">
        <v>-459924.21</v>
      </c>
      <c r="F781" s="0" t="n">
        <v>8228.11</v>
      </c>
      <c r="G781" s="0" t="n">
        <v>-451696.1</v>
      </c>
      <c r="H781" s="0" t="n">
        <v>-1.4089</v>
      </c>
      <c r="I781" s="0" t="n">
        <v>451696.1</v>
      </c>
    </row>
    <row r="782" customFormat="false" ht="15" hidden="false" customHeight="false" outlineLevel="0" collapsed="false">
      <c r="A782" s="0" t="n">
        <v>781</v>
      </c>
      <c r="B782" s="0" t="n">
        <v>20.85</v>
      </c>
      <c r="C782" s="0" t="n">
        <v>65.66</v>
      </c>
      <c r="D782" s="0" t="n">
        <v>34.17</v>
      </c>
      <c r="E782" s="0" t="n">
        <v>-280999.47</v>
      </c>
      <c r="F782" s="0" t="n">
        <v>3071.42</v>
      </c>
      <c r="G782" s="0" t="n">
        <v>-277928.05</v>
      </c>
      <c r="H782" s="0" t="n">
        <v>-0.8669</v>
      </c>
      <c r="I782" s="0" t="n">
        <v>277928.05</v>
      </c>
    </row>
    <row r="783" customFormat="false" ht="15" hidden="false" customHeight="false" outlineLevel="0" collapsed="false">
      <c r="A783" s="0" t="n">
        <v>782</v>
      </c>
      <c r="B783" s="0" t="n">
        <v>-9.07</v>
      </c>
      <c r="C783" s="0" t="n">
        <v>-7.72</v>
      </c>
      <c r="D783" s="0" t="n">
        <v>-12.54</v>
      </c>
      <c r="E783" s="0" t="n">
        <v>122270.7</v>
      </c>
      <c r="F783" s="0" t="n">
        <v>581.53</v>
      </c>
      <c r="G783" s="0" t="n">
        <v>122852.23</v>
      </c>
      <c r="H783" s="0" t="n">
        <v>0.3832</v>
      </c>
      <c r="I783" s="0" t="n">
        <v>122852.23</v>
      </c>
    </row>
    <row r="784" customFormat="false" ht="15" hidden="false" customHeight="false" outlineLevel="0" collapsed="false">
      <c r="A784" s="0" t="n">
        <v>783</v>
      </c>
      <c r="B784" s="0" t="n">
        <v>-82.14</v>
      </c>
      <c r="C784" s="0" t="n">
        <v>-27.12</v>
      </c>
      <c r="D784" s="0" t="n">
        <v>46.73</v>
      </c>
      <c r="E784" s="0" t="n">
        <v>1106850.74</v>
      </c>
      <c r="F784" s="0" t="n">
        <v>47654.7</v>
      </c>
      <c r="G784" s="0" t="n">
        <v>1154505.44</v>
      </c>
      <c r="H784" s="0" t="n">
        <v>3.6012</v>
      </c>
      <c r="I784" s="0" t="n">
        <v>1154505.44</v>
      </c>
    </row>
    <row r="785" customFormat="false" ht="15" hidden="false" customHeight="false" outlineLevel="0" collapsed="false">
      <c r="A785" s="0" t="n">
        <v>784</v>
      </c>
      <c r="B785" s="0" t="n">
        <v>-0.04</v>
      </c>
      <c r="C785" s="0" t="n">
        <v>-7.74</v>
      </c>
      <c r="D785" s="0" t="n">
        <v>14.81</v>
      </c>
      <c r="E785" s="0" t="n">
        <v>604.12</v>
      </c>
      <c r="F785" s="0" t="n">
        <v>0.01</v>
      </c>
      <c r="G785" s="0" t="n">
        <v>604.14</v>
      </c>
      <c r="H785" s="0" t="n">
        <v>0.0019</v>
      </c>
      <c r="I785" s="0" t="n">
        <v>604.14</v>
      </c>
    </row>
    <row r="786" customFormat="false" ht="15" hidden="false" customHeight="false" outlineLevel="0" collapsed="false">
      <c r="A786" s="0" t="n">
        <v>785</v>
      </c>
      <c r="B786" s="0" t="n">
        <v>-72.01</v>
      </c>
      <c r="C786" s="0" t="n">
        <v>70.42</v>
      </c>
      <c r="D786" s="0" t="n">
        <v>24.14</v>
      </c>
      <c r="E786" s="0" t="n">
        <v>970362.34</v>
      </c>
      <c r="F786" s="0" t="n">
        <v>36626.51</v>
      </c>
      <c r="G786" s="0" t="n">
        <v>1006988.85</v>
      </c>
      <c r="H786" s="0" t="n">
        <v>3.141</v>
      </c>
      <c r="I786" s="0" t="n">
        <v>1006988.85</v>
      </c>
    </row>
    <row r="787" customFormat="false" ht="15" hidden="false" customHeight="false" outlineLevel="0" collapsed="false">
      <c r="A787" s="0" t="n">
        <v>786</v>
      </c>
      <c r="B787" s="0" t="n">
        <v>-94.58</v>
      </c>
      <c r="C787" s="0" t="n">
        <v>-64.33</v>
      </c>
      <c r="D787" s="0" t="n">
        <v>26.11</v>
      </c>
      <c r="E787" s="0" t="n">
        <v>1274459.7</v>
      </c>
      <c r="F787" s="0" t="n">
        <v>63180.03</v>
      </c>
      <c r="G787" s="0" t="n">
        <v>1337639.73</v>
      </c>
      <c r="H787" s="0" t="n">
        <v>4.1724</v>
      </c>
      <c r="I787" s="0" t="n">
        <v>1337639.73</v>
      </c>
    </row>
    <row r="788" customFormat="false" ht="15" hidden="false" customHeight="false" outlineLevel="0" collapsed="false">
      <c r="A788" s="0" t="n">
        <v>787</v>
      </c>
      <c r="B788" s="0" t="n">
        <v>-144.87</v>
      </c>
      <c r="C788" s="0" t="n">
        <v>57.07</v>
      </c>
      <c r="D788" s="0" t="n">
        <v>7.7</v>
      </c>
      <c r="E788" s="0" t="n">
        <v>1952155.61</v>
      </c>
      <c r="F788" s="0" t="n">
        <v>148236.96</v>
      </c>
      <c r="G788" s="0" t="n">
        <v>2100392.57</v>
      </c>
      <c r="H788" s="0" t="n">
        <v>6.5516</v>
      </c>
      <c r="I788" s="0" t="n">
        <v>2100392.57</v>
      </c>
    </row>
    <row r="789" customFormat="false" ht="15" hidden="false" customHeight="false" outlineLevel="0" collapsed="false">
      <c r="A789" s="0" t="n">
        <v>788</v>
      </c>
      <c r="B789" s="0" t="n">
        <v>-120.19</v>
      </c>
      <c r="C789" s="0" t="n">
        <v>87.68</v>
      </c>
      <c r="D789" s="0" t="n">
        <v>22.35</v>
      </c>
      <c r="E789" s="0" t="n">
        <v>1619565.34</v>
      </c>
      <c r="F789" s="0" t="n">
        <v>102029.22</v>
      </c>
      <c r="G789" s="0" t="n">
        <v>1721594.56</v>
      </c>
      <c r="H789" s="0" t="n">
        <v>5.37</v>
      </c>
      <c r="I789" s="0" t="n">
        <v>1721594.56</v>
      </c>
    </row>
    <row r="790" customFormat="false" ht="15" hidden="false" customHeight="false" outlineLevel="0" collapsed="false">
      <c r="A790" s="0" t="n">
        <v>789</v>
      </c>
      <c r="B790" s="0" t="n">
        <v>-179.32</v>
      </c>
      <c r="C790" s="0" t="n">
        <v>-22.41</v>
      </c>
      <c r="D790" s="0" t="n">
        <v>-29.08</v>
      </c>
      <c r="E790" s="0" t="n">
        <v>2416385.72</v>
      </c>
      <c r="F790" s="0" t="n">
        <v>227122.5</v>
      </c>
      <c r="G790" s="0" t="n">
        <v>2643508.21</v>
      </c>
      <c r="H790" s="0" t="n">
        <v>8.2457</v>
      </c>
      <c r="I790" s="0" t="n">
        <v>2643508.21</v>
      </c>
    </row>
    <row r="791" customFormat="false" ht="15" hidden="false" customHeight="false" outlineLevel="0" collapsed="false">
      <c r="A791" s="0" t="n">
        <v>790</v>
      </c>
      <c r="B791" s="0" t="n">
        <v>-136.44</v>
      </c>
      <c r="C791" s="0" t="n">
        <v>19.36</v>
      </c>
      <c r="D791" s="0" t="n">
        <v>42.42</v>
      </c>
      <c r="E791" s="0" t="n">
        <v>1838503.02</v>
      </c>
      <c r="F791" s="0" t="n">
        <v>131478.98</v>
      </c>
      <c r="G791" s="0" t="n">
        <v>1969982</v>
      </c>
      <c r="H791" s="0" t="n">
        <v>6.1448</v>
      </c>
      <c r="I791" s="0" t="n">
        <v>1969982</v>
      </c>
    </row>
    <row r="792" customFormat="false" ht="15" hidden="false" customHeight="false" outlineLevel="0" collapsed="false">
      <c r="A792" s="0" t="n">
        <v>791</v>
      </c>
      <c r="B792" s="0" t="n">
        <v>147.35</v>
      </c>
      <c r="C792" s="0" t="n">
        <v>66.89</v>
      </c>
      <c r="D792" s="0" t="n">
        <v>-1.05</v>
      </c>
      <c r="E792" s="0" t="n">
        <v>-1985543.7</v>
      </c>
      <c r="F792" s="0" t="n">
        <v>153350.97</v>
      </c>
      <c r="G792" s="0" t="n">
        <v>-1832192.73</v>
      </c>
      <c r="H792" s="0" t="n">
        <v>-5.715</v>
      </c>
      <c r="I792" s="0" t="n">
        <v>1832192.73</v>
      </c>
    </row>
    <row r="793" customFormat="false" ht="15" hidden="false" customHeight="false" outlineLevel="0" collapsed="false">
      <c r="A793" s="0" t="n">
        <v>792</v>
      </c>
      <c r="B793" s="0" t="n">
        <v>-9.73</v>
      </c>
      <c r="C793" s="0" t="n">
        <v>-41.07</v>
      </c>
      <c r="D793" s="0" t="n">
        <v>8.48</v>
      </c>
      <c r="E793" s="0" t="n">
        <v>131065.16</v>
      </c>
      <c r="F793" s="0" t="n">
        <v>668.19</v>
      </c>
      <c r="G793" s="0" t="n">
        <v>131733.35</v>
      </c>
      <c r="H793" s="0" t="n">
        <v>0.4109</v>
      </c>
      <c r="I793" s="0" t="n">
        <v>131733.35</v>
      </c>
    </row>
    <row r="794" customFormat="false" ht="15" hidden="false" customHeight="false" outlineLevel="0" collapsed="false">
      <c r="A794" s="0" t="n">
        <v>793</v>
      </c>
      <c r="B794" s="0" t="n">
        <v>126.9</v>
      </c>
      <c r="C794" s="0" t="n">
        <v>15.93</v>
      </c>
      <c r="D794" s="0" t="n">
        <v>-7.39</v>
      </c>
      <c r="E794" s="0" t="n">
        <v>-1709911.54</v>
      </c>
      <c r="F794" s="0" t="n">
        <v>113729.97</v>
      </c>
      <c r="G794" s="0" t="n">
        <v>-1596181.57</v>
      </c>
      <c r="H794" s="0" t="n">
        <v>-4.9788</v>
      </c>
      <c r="I794" s="0" t="n">
        <v>1596181.57</v>
      </c>
    </row>
    <row r="795" customFormat="false" ht="15" hidden="false" customHeight="false" outlineLevel="0" collapsed="false">
      <c r="A795" s="0" t="n">
        <v>794</v>
      </c>
      <c r="B795" s="0" t="n">
        <v>-35.1</v>
      </c>
      <c r="C795" s="0" t="n">
        <v>-3.55</v>
      </c>
      <c r="D795" s="0" t="n">
        <v>50.13</v>
      </c>
      <c r="E795" s="0" t="n">
        <v>472984.7</v>
      </c>
      <c r="F795" s="0" t="n">
        <v>8702.05</v>
      </c>
      <c r="G795" s="0" t="n">
        <v>481686.75</v>
      </c>
      <c r="H795" s="0" t="n">
        <v>1.5025</v>
      </c>
      <c r="I795" s="0" t="n">
        <v>481686.75</v>
      </c>
    </row>
    <row r="796" customFormat="false" ht="15" hidden="false" customHeight="false" outlineLevel="0" collapsed="false">
      <c r="A796" s="0" t="n">
        <v>795</v>
      </c>
      <c r="B796" s="0" t="n">
        <v>44.49</v>
      </c>
      <c r="C796" s="0" t="n">
        <v>13.08</v>
      </c>
      <c r="D796" s="0" t="n">
        <v>-23.47</v>
      </c>
      <c r="E796" s="0" t="n">
        <v>-599526.05</v>
      </c>
      <c r="F796" s="0" t="n">
        <v>13981.18</v>
      </c>
      <c r="G796" s="0" t="n">
        <v>-585544.88</v>
      </c>
      <c r="H796" s="0" t="n">
        <v>-1.8264</v>
      </c>
      <c r="I796" s="0" t="n">
        <v>585544.88</v>
      </c>
    </row>
    <row r="797" customFormat="false" ht="15" hidden="false" customHeight="false" outlineLevel="0" collapsed="false">
      <c r="A797" s="0" t="n">
        <v>796</v>
      </c>
      <c r="B797" s="0" t="n">
        <v>248.33</v>
      </c>
      <c r="C797" s="0" t="n">
        <v>64.99</v>
      </c>
      <c r="D797" s="0" t="n">
        <v>72.65</v>
      </c>
      <c r="E797" s="0" t="n">
        <v>-3346275.2</v>
      </c>
      <c r="F797" s="0" t="n">
        <v>435562.96</v>
      </c>
      <c r="G797" s="0" t="n">
        <v>-2910712.24</v>
      </c>
      <c r="H797" s="0" t="n">
        <v>-9.0791</v>
      </c>
      <c r="I797" s="0" t="n">
        <v>2910712.24</v>
      </c>
    </row>
    <row r="798" customFormat="false" ht="15" hidden="false" customHeight="false" outlineLevel="0" collapsed="false">
      <c r="A798" s="0" t="n">
        <v>797</v>
      </c>
      <c r="B798" s="0" t="n">
        <v>-41.22</v>
      </c>
      <c r="C798" s="0" t="n">
        <v>-31.66</v>
      </c>
      <c r="D798" s="0" t="n">
        <v>69.41</v>
      </c>
      <c r="E798" s="0" t="n">
        <v>555468.74</v>
      </c>
      <c r="F798" s="0" t="n">
        <v>12001.81</v>
      </c>
      <c r="G798" s="0" t="n">
        <v>567470.56</v>
      </c>
      <c r="H798" s="0" t="n">
        <v>1.7701</v>
      </c>
      <c r="I798" s="0" t="n">
        <v>567470.56</v>
      </c>
    </row>
    <row r="799" customFormat="false" ht="15" hidden="false" customHeight="false" outlineLevel="0" collapsed="false">
      <c r="A799" s="0" t="n">
        <v>798</v>
      </c>
      <c r="B799" s="0" t="n">
        <v>69.06</v>
      </c>
      <c r="C799" s="0" t="n">
        <v>34.41</v>
      </c>
      <c r="D799" s="0" t="n">
        <v>-14.1</v>
      </c>
      <c r="E799" s="0" t="n">
        <v>-930587.07</v>
      </c>
      <c r="F799" s="0" t="n">
        <v>33685.4</v>
      </c>
      <c r="G799" s="0" t="n">
        <v>-896901.68</v>
      </c>
      <c r="H799" s="0" t="n">
        <v>-2.7976</v>
      </c>
      <c r="I799" s="0" t="n">
        <v>896901.68</v>
      </c>
    </row>
    <row r="800" customFormat="false" ht="15" hidden="false" customHeight="false" outlineLevel="0" collapsed="false">
      <c r="A800" s="0" t="n">
        <v>799</v>
      </c>
      <c r="B800" s="0" t="n">
        <v>-53.64</v>
      </c>
      <c r="C800" s="0" t="n">
        <v>-5.84</v>
      </c>
      <c r="D800" s="0" t="n">
        <v>-25.95</v>
      </c>
      <c r="E800" s="0" t="n">
        <v>722747.21</v>
      </c>
      <c r="F800" s="0" t="n">
        <v>20318.91</v>
      </c>
      <c r="G800" s="0" t="n">
        <v>743066.12</v>
      </c>
      <c r="H800" s="0" t="n">
        <v>2.3178</v>
      </c>
      <c r="I800" s="0" t="n">
        <v>743066.12</v>
      </c>
    </row>
    <row r="801" customFormat="false" ht="15" hidden="false" customHeight="false" outlineLevel="0" collapsed="false">
      <c r="A801" s="0" t="n">
        <v>800</v>
      </c>
      <c r="B801" s="0" t="n">
        <v>5.2</v>
      </c>
      <c r="C801" s="0" t="n">
        <v>143.53</v>
      </c>
      <c r="D801" s="0" t="n">
        <v>-54.06</v>
      </c>
      <c r="E801" s="0" t="n">
        <v>-70064.23</v>
      </c>
      <c r="F801" s="0" t="n">
        <v>190.95</v>
      </c>
      <c r="G801" s="0" t="n">
        <v>-69873.28</v>
      </c>
      <c r="H801" s="0" t="n">
        <v>-0.2179</v>
      </c>
      <c r="I801" s="0" t="n">
        <v>69873.28</v>
      </c>
    </row>
    <row r="802" customFormat="false" ht="15" hidden="false" customHeight="false" outlineLevel="0" collapsed="false">
      <c r="A802" s="0" t="n">
        <v>801</v>
      </c>
      <c r="B802" s="0" t="n">
        <v>-93.92</v>
      </c>
      <c r="C802" s="0" t="n">
        <v>-36.98</v>
      </c>
      <c r="D802" s="0" t="n">
        <v>-16.81</v>
      </c>
      <c r="E802" s="0" t="n">
        <v>1265531.31</v>
      </c>
      <c r="F802" s="0" t="n">
        <v>62297.9</v>
      </c>
      <c r="G802" s="0" t="n">
        <v>1327829.21</v>
      </c>
      <c r="H802" s="0" t="n">
        <v>4.1418</v>
      </c>
      <c r="I802" s="0" t="n">
        <v>1327829.21</v>
      </c>
    </row>
    <row r="803" customFormat="false" ht="15" hidden="false" customHeight="false" outlineLevel="0" collapsed="false">
      <c r="A803" s="0" t="n">
        <v>802</v>
      </c>
      <c r="B803" s="0" t="n">
        <v>-136.34</v>
      </c>
      <c r="C803" s="0" t="n">
        <v>13.14</v>
      </c>
      <c r="D803" s="0" t="n">
        <v>2.28</v>
      </c>
      <c r="E803" s="0" t="n">
        <v>1837234.43</v>
      </c>
      <c r="F803" s="0" t="n">
        <v>131297.6</v>
      </c>
      <c r="G803" s="0" t="n">
        <v>1968532.03</v>
      </c>
      <c r="H803" s="0" t="n">
        <v>6.1403</v>
      </c>
      <c r="I803" s="0" t="n">
        <v>1968532.03</v>
      </c>
    </row>
    <row r="804" customFormat="false" ht="15" hidden="false" customHeight="false" outlineLevel="0" collapsed="false">
      <c r="A804" s="0" t="n">
        <v>803</v>
      </c>
      <c r="B804" s="0" t="n">
        <v>123.91</v>
      </c>
      <c r="C804" s="0" t="n">
        <v>76.51</v>
      </c>
      <c r="D804" s="0" t="n">
        <v>3.49</v>
      </c>
      <c r="E804" s="0" t="n">
        <v>-1669739.78</v>
      </c>
      <c r="F804" s="0" t="n">
        <v>108448.92</v>
      </c>
      <c r="G804" s="0" t="n">
        <v>-1561290.86</v>
      </c>
      <c r="H804" s="0" t="n">
        <v>-4.87</v>
      </c>
      <c r="I804" s="0" t="n">
        <v>1561290.86</v>
      </c>
    </row>
    <row r="805" customFormat="false" ht="15" hidden="false" customHeight="false" outlineLevel="0" collapsed="false">
      <c r="A805" s="0" t="n">
        <v>804</v>
      </c>
      <c r="B805" s="0" t="n">
        <v>52.41</v>
      </c>
      <c r="C805" s="0" t="n">
        <v>-63.38</v>
      </c>
      <c r="D805" s="0" t="n">
        <v>-12.91</v>
      </c>
      <c r="E805" s="0" t="n">
        <v>-706208.21</v>
      </c>
      <c r="F805" s="0" t="n">
        <v>19399.62</v>
      </c>
      <c r="G805" s="0" t="n">
        <v>-686808.59</v>
      </c>
      <c r="H805" s="0" t="n">
        <v>-2.1423</v>
      </c>
      <c r="I805" s="0" t="n">
        <v>686808.59</v>
      </c>
    </row>
    <row r="806" customFormat="false" ht="15" hidden="false" customHeight="false" outlineLevel="0" collapsed="false">
      <c r="A806" s="0" t="n">
        <v>805</v>
      </c>
      <c r="B806" s="0" t="n">
        <v>-27.68</v>
      </c>
      <c r="C806" s="0" t="n">
        <v>79.61</v>
      </c>
      <c r="D806" s="0" t="n">
        <v>-33.44</v>
      </c>
      <c r="E806" s="0" t="n">
        <v>373021.24</v>
      </c>
      <c r="F806" s="0" t="n">
        <v>5412.46</v>
      </c>
      <c r="G806" s="0" t="n">
        <v>378433.7</v>
      </c>
      <c r="H806" s="0" t="n">
        <v>1.1804</v>
      </c>
      <c r="I806" s="0" t="n">
        <v>378433.7</v>
      </c>
    </row>
    <row r="807" customFormat="false" ht="15" hidden="false" customHeight="false" outlineLevel="0" collapsed="false">
      <c r="A807" s="0" t="n">
        <v>806</v>
      </c>
      <c r="B807" s="0" t="n">
        <v>59.46</v>
      </c>
      <c r="C807" s="0" t="n">
        <v>-4.85</v>
      </c>
      <c r="D807" s="0" t="n">
        <v>43.36</v>
      </c>
      <c r="E807" s="0" t="n">
        <v>-801238.22</v>
      </c>
      <c r="F807" s="0" t="n">
        <v>24971.86</v>
      </c>
      <c r="G807" s="0" t="n">
        <v>-776266.35</v>
      </c>
      <c r="H807" s="0" t="n">
        <v>-2.4213</v>
      </c>
      <c r="I807" s="0" t="n">
        <v>776266.35</v>
      </c>
    </row>
    <row r="808" customFormat="false" ht="15" hidden="false" customHeight="false" outlineLevel="0" collapsed="false">
      <c r="A808" s="0" t="n">
        <v>807</v>
      </c>
      <c r="B808" s="0" t="n">
        <v>57.18</v>
      </c>
      <c r="C808" s="0" t="n">
        <v>47.2</v>
      </c>
      <c r="D808" s="0" t="n">
        <v>42.38</v>
      </c>
      <c r="E808" s="0" t="n">
        <v>-770445.18</v>
      </c>
      <c r="F808" s="0" t="n">
        <v>23089.32</v>
      </c>
      <c r="G808" s="0" t="n">
        <v>-747355.86</v>
      </c>
      <c r="H808" s="0" t="n">
        <v>-2.3312</v>
      </c>
      <c r="I808" s="0" t="n">
        <v>747355.86</v>
      </c>
    </row>
    <row r="809" customFormat="false" ht="15" hidden="false" customHeight="false" outlineLevel="0" collapsed="false">
      <c r="A809" s="0" t="n">
        <v>808</v>
      </c>
      <c r="B809" s="0" t="n">
        <v>-51.12</v>
      </c>
      <c r="C809" s="0" t="n">
        <v>25.86</v>
      </c>
      <c r="D809" s="0" t="n">
        <v>-6.12</v>
      </c>
      <c r="E809" s="0" t="n">
        <v>688882.57</v>
      </c>
      <c r="F809" s="0" t="n">
        <v>18459.42</v>
      </c>
      <c r="G809" s="0" t="n">
        <v>707341.99</v>
      </c>
      <c r="H809" s="0" t="n">
        <v>2.2064</v>
      </c>
      <c r="I809" s="0" t="n">
        <v>707341.99</v>
      </c>
    </row>
    <row r="810" customFormat="false" ht="15" hidden="false" customHeight="false" outlineLevel="0" collapsed="false">
      <c r="A810" s="0" t="n">
        <v>809</v>
      </c>
      <c r="B810" s="0" t="n">
        <v>40.37</v>
      </c>
      <c r="C810" s="0" t="n">
        <v>67.51</v>
      </c>
      <c r="D810" s="0" t="n">
        <v>-5.17</v>
      </c>
      <c r="E810" s="0" t="n">
        <v>-543976.48</v>
      </c>
      <c r="F810" s="0" t="n">
        <v>11510.33</v>
      </c>
      <c r="G810" s="0" t="n">
        <v>-532466.15</v>
      </c>
      <c r="H810" s="0" t="n">
        <v>-1.6609</v>
      </c>
      <c r="I810" s="0" t="n">
        <v>532466.15</v>
      </c>
    </row>
    <row r="811" customFormat="false" ht="15" hidden="false" customHeight="false" outlineLevel="0" collapsed="false">
      <c r="A811" s="0" t="n">
        <v>810</v>
      </c>
      <c r="B811" s="0" t="n">
        <v>140.56</v>
      </c>
      <c r="C811" s="0" t="n">
        <v>-48.29</v>
      </c>
      <c r="D811" s="0" t="n">
        <v>-37.63</v>
      </c>
      <c r="E811" s="0" t="n">
        <v>-1894079.01</v>
      </c>
      <c r="F811" s="0" t="n">
        <v>139548.06</v>
      </c>
      <c r="G811" s="0" t="n">
        <v>-1754530.95</v>
      </c>
      <c r="H811" s="0" t="n">
        <v>-5.4728</v>
      </c>
      <c r="I811" s="0" t="n">
        <v>1754530.95</v>
      </c>
    </row>
    <row r="812" customFormat="false" ht="15" hidden="false" customHeight="false" outlineLevel="0" collapsed="false">
      <c r="A812" s="0" t="n">
        <v>811</v>
      </c>
      <c r="B812" s="0" t="n">
        <v>-133.07</v>
      </c>
      <c r="C812" s="0" t="n">
        <v>-28.12</v>
      </c>
      <c r="D812" s="0" t="n">
        <v>-17.91</v>
      </c>
      <c r="E812" s="0" t="n">
        <v>1793059.25</v>
      </c>
      <c r="F812" s="0" t="n">
        <v>125059.57</v>
      </c>
      <c r="G812" s="0" t="n">
        <v>1918118.82</v>
      </c>
      <c r="H812" s="0" t="n">
        <v>5.983</v>
      </c>
      <c r="I812" s="0" t="n">
        <v>1918118.82</v>
      </c>
    </row>
    <row r="813" customFormat="false" ht="15" hidden="false" customHeight="false" outlineLevel="0" collapsed="false">
      <c r="A813" s="0" t="n">
        <v>812</v>
      </c>
      <c r="B813" s="0" t="n">
        <v>-4.29</v>
      </c>
      <c r="C813" s="0" t="n">
        <v>18.95</v>
      </c>
      <c r="D813" s="0" t="n">
        <v>-23.56</v>
      </c>
      <c r="E813" s="0" t="n">
        <v>57868.32</v>
      </c>
      <c r="F813" s="0" t="n">
        <v>130.26</v>
      </c>
      <c r="G813" s="0" t="n">
        <v>57998.58</v>
      </c>
      <c r="H813" s="0" t="n">
        <v>0.1809</v>
      </c>
      <c r="I813" s="0" t="n">
        <v>57998.58</v>
      </c>
    </row>
    <row r="814" customFormat="false" ht="15" hidden="false" customHeight="false" outlineLevel="0" collapsed="false">
      <c r="A814" s="0" t="n">
        <v>813</v>
      </c>
      <c r="B814" s="0" t="n">
        <v>22.95</v>
      </c>
      <c r="C814" s="0" t="n">
        <v>-47.43</v>
      </c>
      <c r="D814" s="0" t="n">
        <v>22.05</v>
      </c>
      <c r="E814" s="0" t="n">
        <v>-309312.99</v>
      </c>
      <c r="F814" s="0" t="n">
        <v>3721.55</v>
      </c>
      <c r="G814" s="0" t="n">
        <v>-305591.43</v>
      </c>
      <c r="H814" s="0" t="n">
        <v>-0.9532</v>
      </c>
      <c r="I814" s="0" t="n">
        <v>305591.43</v>
      </c>
    </row>
    <row r="815" customFormat="false" ht="15" hidden="false" customHeight="false" outlineLevel="0" collapsed="false">
      <c r="A815" s="0" t="n">
        <v>814</v>
      </c>
      <c r="B815" s="0" t="n">
        <v>-16.9</v>
      </c>
      <c r="C815" s="0" t="n">
        <v>-7.76</v>
      </c>
      <c r="D815" s="0" t="n">
        <v>36.65</v>
      </c>
      <c r="E815" s="0" t="n">
        <v>227789.03</v>
      </c>
      <c r="F815" s="0" t="n">
        <v>2018.34</v>
      </c>
      <c r="G815" s="0" t="n">
        <v>229807.37</v>
      </c>
      <c r="H815" s="0" t="n">
        <v>0.7168</v>
      </c>
      <c r="I815" s="0" t="n">
        <v>229807.37</v>
      </c>
    </row>
    <row r="816" customFormat="false" ht="15" hidden="false" customHeight="false" outlineLevel="0" collapsed="false">
      <c r="A816" s="0" t="n">
        <v>815</v>
      </c>
      <c r="B816" s="0" t="n">
        <v>-41.19</v>
      </c>
      <c r="C816" s="0" t="n">
        <v>-46.76</v>
      </c>
      <c r="D816" s="0" t="n">
        <v>-6.19</v>
      </c>
      <c r="E816" s="0" t="n">
        <v>554996.85</v>
      </c>
      <c r="F816" s="0" t="n">
        <v>11981.43</v>
      </c>
      <c r="G816" s="0" t="n">
        <v>566978.29</v>
      </c>
      <c r="H816" s="0" t="n">
        <v>1.7685</v>
      </c>
      <c r="I816" s="0" t="n">
        <v>566978.29</v>
      </c>
    </row>
    <row r="817" customFormat="false" ht="15" hidden="false" customHeight="false" outlineLevel="0" collapsed="false">
      <c r="A817" s="0" t="n">
        <v>816</v>
      </c>
      <c r="B817" s="0" t="n">
        <v>37.91</v>
      </c>
      <c r="C817" s="0" t="n">
        <v>73.03</v>
      </c>
      <c r="D817" s="0" t="n">
        <v>-28.1</v>
      </c>
      <c r="E817" s="0" t="n">
        <v>-510891.43</v>
      </c>
      <c r="F817" s="0" t="n">
        <v>10152.78</v>
      </c>
      <c r="G817" s="0" t="n">
        <v>-500738.65</v>
      </c>
      <c r="H817" s="0" t="n">
        <v>-1.5619</v>
      </c>
      <c r="I817" s="0" t="n">
        <v>500738.65</v>
      </c>
    </row>
    <row r="818" customFormat="false" ht="15" hidden="false" customHeight="false" outlineLevel="0" collapsed="false">
      <c r="A818" s="0" t="n">
        <v>817</v>
      </c>
      <c r="B818" s="0" t="n">
        <v>108.45</v>
      </c>
      <c r="C818" s="0" t="n">
        <v>71.13</v>
      </c>
      <c r="D818" s="0" t="n">
        <v>-2.02</v>
      </c>
      <c r="E818" s="0" t="n">
        <v>-1461419.58</v>
      </c>
      <c r="F818" s="0" t="n">
        <v>83076.36</v>
      </c>
      <c r="G818" s="0" t="n">
        <v>-1378343.22</v>
      </c>
      <c r="H818" s="0" t="n">
        <v>-4.2993</v>
      </c>
      <c r="I818" s="0" t="n">
        <v>1378343.22</v>
      </c>
    </row>
    <row r="819" customFormat="false" ht="15" hidden="false" customHeight="false" outlineLevel="0" collapsed="false">
      <c r="A819" s="0" t="n">
        <v>818</v>
      </c>
      <c r="B819" s="0" t="n">
        <v>44.91</v>
      </c>
      <c r="C819" s="0" t="n">
        <v>35.15</v>
      </c>
      <c r="D819" s="0" t="n">
        <v>-2.73</v>
      </c>
      <c r="E819" s="0" t="n">
        <v>-605093.3</v>
      </c>
      <c r="F819" s="0" t="n">
        <v>14242.04</v>
      </c>
      <c r="G819" s="0" t="n">
        <v>-590851.25</v>
      </c>
      <c r="H819" s="0" t="n">
        <v>-1.843</v>
      </c>
      <c r="I819" s="0" t="n">
        <v>590851.25</v>
      </c>
    </row>
    <row r="820" customFormat="false" ht="15" hidden="false" customHeight="false" outlineLevel="0" collapsed="false">
      <c r="A820" s="0" t="n">
        <v>819</v>
      </c>
      <c r="B820" s="0" t="n">
        <v>166.78</v>
      </c>
      <c r="C820" s="0" t="n">
        <v>-26.07</v>
      </c>
      <c r="D820" s="0" t="n">
        <v>26.18</v>
      </c>
      <c r="E820" s="0" t="n">
        <v>-2247328.79</v>
      </c>
      <c r="F820" s="0" t="n">
        <v>196453.99</v>
      </c>
      <c r="G820" s="0" t="n">
        <v>-2050874.79</v>
      </c>
      <c r="H820" s="0" t="n">
        <v>-6.3971</v>
      </c>
      <c r="I820" s="0" t="n">
        <v>2050874.79</v>
      </c>
    </row>
    <row r="821" customFormat="false" ht="15" hidden="false" customHeight="false" outlineLevel="0" collapsed="false">
      <c r="A821" s="0" t="n">
        <v>820</v>
      </c>
      <c r="B821" s="0" t="n">
        <v>85.64</v>
      </c>
      <c r="C821" s="0" t="n">
        <v>47.29</v>
      </c>
      <c r="D821" s="0" t="n">
        <v>-28.19</v>
      </c>
      <c r="E821" s="0" t="n">
        <v>-1154053.71</v>
      </c>
      <c r="F821" s="0" t="n">
        <v>51805.95</v>
      </c>
      <c r="G821" s="0" t="n">
        <v>-1102247.76</v>
      </c>
      <c r="H821" s="0" t="n">
        <v>-3.4381</v>
      </c>
      <c r="I821" s="0" t="n">
        <v>1102247.76</v>
      </c>
    </row>
    <row r="822" customFormat="false" ht="15" hidden="false" customHeight="false" outlineLevel="0" collapsed="false">
      <c r="A822" s="0" t="n">
        <v>821</v>
      </c>
      <c r="B822" s="0" t="n">
        <v>15.66</v>
      </c>
      <c r="C822" s="0" t="n">
        <v>-21</v>
      </c>
      <c r="D822" s="0" t="n">
        <v>-22.76</v>
      </c>
      <c r="E822" s="0" t="n">
        <v>-210961.95</v>
      </c>
      <c r="F822" s="0" t="n">
        <v>1731.15</v>
      </c>
      <c r="G822" s="0" t="n">
        <v>-209230.79</v>
      </c>
      <c r="H822" s="0" t="n">
        <v>-0.6526</v>
      </c>
      <c r="I822" s="0" t="n">
        <v>209230.79</v>
      </c>
    </row>
    <row r="823" customFormat="false" ht="15" hidden="false" customHeight="false" outlineLevel="0" collapsed="false">
      <c r="A823" s="0" t="n">
        <v>822</v>
      </c>
      <c r="B823" s="0" t="n">
        <v>105.95</v>
      </c>
      <c r="C823" s="0" t="n">
        <v>-7.94</v>
      </c>
      <c r="D823" s="0" t="n">
        <v>23.37</v>
      </c>
      <c r="E823" s="0" t="n">
        <v>-1427641.06</v>
      </c>
      <c r="F823" s="0" t="n">
        <v>79280.37</v>
      </c>
      <c r="G823" s="0" t="n">
        <v>-1348360.68</v>
      </c>
      <c r="H823" s="0" t="n">
        <v>-4.2058</v>
      </c>
      <c r="I823" s="0" t="n">
        <v>1348360.68</v>
      </c>
    </row>
    <row r="824" customFormat="false" ht="15" hidden="false" customHeight="false" outlineLevel="0" collapsed="false">
      <c r="A824" s="0" t="n">
        <v>823</v>
      </c>
      <c r="B824" s="0" t="n">
        <v>25.47</v>
      </c>
      <c r="C824" s="0" t="n">
        <v>9.14</v>
      </c>
      <c r="D824" s="0" t="n">
        <v>-20.75</v>
      </c>
      <c r="E824" s="0" t="n">
        <v>-343249.09</v>
      </c>
      <c r="F824" s="0" t="n">
        <v>4582.96</v>
      </c>
      <c r="G824" s="0" t="n">
        <v>-338666.13</v>
      </c>
      <c r="H824" s="0" t="n">
        <v>-1.0564</v>
      </c>
      <c r="I824" s="0" t="n">
        <v>338666.13</v>
      </c>
    </row>
    <row r="825" customFormat="false" ht="15" hidden="false" customHeight="false" outlineLevel="0" collapsed="false">
      <c r="A825" s="0" t="n">
        <v>824</v>
      </c>
      <c r="B825" s="0" t="n">
        <v>151.95</v>
      </c>
      <c r="C825" s="0" t="n">
        <v>38.21</v>
      </c>
      <c r="D825" s="0" t="n">
        <v>49.26</v>
      </c>
      <c r="E825" s="0" t="n">
        <v>-2047582.71</v>
      </c>
      <c r="F825" s="0" t="n">
        <v>163083.69</v>
      </c>
      <c r="G825" s="0" t="n">
        <v>-1884499.02</v>
      </c>
      <c r="H825" s="0" t="n">
        <v>-5.8782</v>
      </c>
      <c r="I825" s="0" t="n">
        <v>1884499.02</v>
      </c>
    </row>
    <row r="826" customFormat="false" ht="15" hidden="false" customHeight="false" outlineLevel="0" collapsed="false">
      <c r="A826" s="0" t="n">
        <v>825</v>
      </c>
      <c r="B826" s="0" t="n">
        <v>-77.27</v>
      </c>
      <c r="C826" s="0" t="n">
        <v>-79.25</v>
      </c>
      <c r="D826" s="0" t="n">
        <v>-58.78</v>
      </c>
      <c r="E826" s="0" t="n">
        <v>1041158.99</v>
      </c>
      <c r="F826" s="0" t="n">
        <v>42165.94</v>
      </c>
      <c r="G826" s="0" t="n">
        <v>1083324.92</v>
      </c>
      <c r="H826" s="0" t="n">
        <v>3.3791</v>
      </c>
      <c r="I826" s="0" t="n">
        <v>1083324.92</v>
      </c>
    </row>
    <row r="827" customFormat="false" ht="15" hidden="false" customHeight="false" outlineLevel="0" collapsed="false">
      <c r="A827" s="0" t="n">
        <v>826</v>
      </c>
      <c r="B827" s="0" t="n">
        <v>-65.95</v>
      </c>
      <c r="C827" s="0" t="n">
        <v>-54.84</v>
      </c>
      <c r="D827" s="0" t="n">
        <v>23.08</v>
      </c>
      <c r="E827" s="0" t="n">
        <v>888681.75</v>
      </c>
      <c r="F827" s="0" t="n">
        <v>30719.93</v>
      </c>
      <c r="G827" s="0" t="n">
        <v>919401.68</v>
      </c>
      <c r="H827" s="0" t="n">
        <v>2.8678</v>
      </c>
      <c r="I827" s="0" t="n">
        <v>919401.68</v>
      </c>
    </row>
    <row r="828" customFormat="false" ht="15" hidden="false" customHeight="false" outlineLevel="0" collapsed="false">
      <c r="A828" s="0" t="n">
        <v>827</v>
      </c>
      <c r="B828" s="0" t="n">
        <v>-8.67</v>
      </c>
      <c r="C828" s="0" t="n">
        <v>76.05</v>
      </c>
      <c r="D828" s="0" t="n">
        <v>-10.06</v>
      </c>
      <c r="E828" s="0" t="n">
        <v>116810.19</v>
      </c>
      <c r="F828" s="0" t="n">
        <v>530.75</v>
      </c>
      <c r="G828" s="0" t="n">
        <v>117340.93</v>
      </c>
      <c r="H828" s="0" t="n">
        <v>0.366</v>
      </c>
      <c r="I828" s="0" t="n">
        <v>117340.93</v>
      </c>
    </row>
    <row r="829" customFormat="false" ht="15" hidden="false" customHeight="false" outlineLevel="0" collapsed="false">
      <c r="A829" s="0" t="n">
        <v>828</v>
      </c>
      <c r="B829" s="0" t="n">
        <v>-142.51</v>
      </c>
      <c r="C829" s="0" t="n">
        <v>40.43</v>
      </c>
      <c r="D829" s="0" t="n">
        <v>30.34</v>
      </c>
      <c r="E829" s="0" t="n">
        <v>1920316.34</v>
      </c>
      <c r="F829" s="0" t="n">
        <v>143440.96</v>
      </c>
      <c r="G829" s="0" t="n">
        <v>2063757.3</v>
      </c>
      <c r="H829" s="0" t="n">
        <v>6.4373</v>
      </c>
      <c r="I829" s="0" t="n">
        <v>2063757.3</v>
      </c>
    </row>
    <row r="830" customFormat="false" ht="15" hidden="false" customHeight="false" outlineLevel="0" collapsed="false">
      <c r="A830" s="0" t="n">
        <v>829</v>
      </c>
      <c r="B830" s="0" t="n">
        <v>-24.39</v>
      </c>
      <c r="C830" s="0" t="n">
        <v>111.28</v>
      </c>
      <c r="D830" s="0" t="n">
        <v>-18.5</v>
      </c>
      <c r="E830" s="0" t="n">
        <v>328613.72</v>
      </c>
      <c r="F830" s="0" t="n">
        <v>4200.48</v>
      </c>
      <c r="G830" s="0" t="n">
        <v>332814.2</v>
      </c>
      <c r="H830" s="0" t="n">
        <v>1.0381</v>
      </c>
      <c r="I830" s="0" t="n">
        <v>332814.2</v>
      </c>
    </row>
    <row r="831" customFormat="false" ht="15" hidden="false" customHeight="false" outlineLevel="0" collapsed="false">
      <c r="A831" s="0" t="n">
        <v>830</v>
      </c>
      <c r="B831" s="0" t="n">
        <v>-73.78</v>
      </c>
      <c r="C831" s="0" t="n">
        <v>12.96</v>
      </c>
      <c r="D831" s="0" t="n">
        <v>-44.5</v>
      </c>
      <c r="E831" s="0" t="n">
        <v>994128.84</v>
      </c>
      <c r="F831" s="0" t="n">
        <v>38442.62</v>
      </c>
      <c r="G831" s="0" t="n">
        <v>1032571.46</v>
      </c>
      <c r="H831" s="0" t="n">
        <v>3.2208</v>
      </c>
      <c r="I831" s="0" t="n">
        <v>1032571.46</v>
      </c>
    </row>
    <row r="832" customFormat="false" ht="15" hidden="false" customHeight="false" outlineLevel="0" collapsed="false">
      <c r="A832" s="0" t="n">
        <v>831</v>
      </c>
      <c r="B832" s="0" t="n">
        <v>-96.36</v>
      </c>
      <c r="C832" s="0" t="n">
        <v>27.18</v>
      </c>
      <c r="D832" s="0" t="n">
        <v>-26.01</v>
      </c>
      <c r="E832" s="0" t="n">
        <v>1298491.5</v>
      </c>
      <c r="F832" s="0" t="n">
        <v>65585.2</v>
      </c>
      <c r="G832" s="0" t="n">
        <v>1364076.7</v>
      </c>
      <c r="H832" s="0" t="n">
        <v>4.2548</v>
      </c>
      <c r="I832" s="0" t="n">
        <v>1364076.7</v>
      </c>
    </row>
    <row r="833" customFormat="false" ht="15" hidden="false" customHeight="false" outlineLevel="0" collapsed="false">
      <c r="A833" s="0" t="n">
        <v>832</v>
      </c>
      <c r="B833" s="0" t="n">
        <v>34.98</v>
      </c>
      <c r="C833" s="0" t="n">
        <v>-40.32</v>
      </c>
      <c r="D833" s="0" t="n">
        <v>4.82</v>
      </c>
      <c r="E833" s="0" t="n">
        <v>-471364.82</v>
      </c>
      <c r="F833" s="0" t="n">
        <v>8642.55</v>
      </c>
      <c r="G833" s="0" t="n">
        <v>-462722.27</v>
      </c>
      <c r="H833" s="0" t="n">
        <v>-1.4433</v>
      </c>
      <c r="I833" s="0" t="n">
        <v>462722.27</v>
      </c>
    </row>
    <row r="834" customFormat="false" ht="15" hidden="false" customHeight="false" outlineLevel="0" collapsed="false">
      <c r="A834" s="0" t="n">
        <v>833</v>
      </c>
      <c r="B834" s="0" t="n">
        <v>115.93</v>
      </c>
      <c r="C834" s="0" t="n">
        <v>-17.79</v>
      </c>
      <c r="D834" s="0" t="n">
        <v>-13.4</v>
      </c>
      <c r="E834" s="0" t="n">
        <v>-1562101.64</v>
      </c>
      <c r="F834" s="0" t="n">
        <v>94917.48</v>
      </c>
      <c r="G834" s="0" t="n">
        <v>-1467184.16</v>
      </c>
      <c r="H834" s="0" t="n">
        <v>-4.5765</v>
      </c>
      <c r="I834" s="0" t="n">
        <v>1467184.16</v>
      </c>
    </row>
    <row r="835" customFormat="false" ht="15" hidden="false" customHeight="false" outlineLevel="0" collapsed="false">
      <c r="A835" s="0" t="n">
        <v>834</v>
      </c>
      <c r="B835" s="0" t="n">
        <v>-222.48</v>
      </c>
      <c r="C835" s="0" t="n">
        <v>9.45</v>
      </c>
      <c r="D835" s="0" t="n">
        <v>42.25</v>
      </c>
      <c r="E835" s="0" t="n">
        <v>2997870.02</v>
      </c>
      <c r="F835" s="0" t="n">
        <v>349585.35</v>
      </c>
      <c r="G835" s="0" t="n">
        <v>3347455.38</v>
      </c>
      <c r="H835" s="0" t="n">
        <v>10.4414</v>
      </c>
      <c r="I835" s="0" t="n">
        <v>3347455.38</v>
      </c>
    </row>
    <row r="836" customFormat="false" ht="15" hidden="false" customHeight="false" outlineLevel="0" collapsed="false">
      <c r="A836" s="0" t="n">
        <v>835</v>
      </c>
      <c r="B836" s="0" t="n">
        <v>72.99</v>
      </c>
      <c r="C836" s="0" t="n">
        <v>22.19</v>
      </c>
      <c r="D836" s="0" t="n">
        <v>7.47</v>
      </c>
      <c r="E836" s="0" t="n">
        <v>-983472.3</v>
      </c>
      <c r="F836" s="0" t="n">
        <v>37622.87</v>
      </c>
      <c r="G836" s="0" t="n">
        <v>-945849.43</v>
      </c>
      <c r="H836" s="0" t="n">
        <v>-2.9503</v>
      </c>
      <c r="I836" s="0" t="n">
        <v>945849.43</v>
      </c>
    </row>
    <row r="837" customFormat="false" ht="15" hidden="false" customHeight="false" outlineLevel="0" collapsed="false">
      <c r="A837" s="0" t="n">
        <v>836</v>
      </c>
      <c r="B837" s="0" t="n">
        <v>-191.57</v>
      </c>
      <c r="C837" s="0" t="n">
        <v>-13.24</v>
      </c>
      <c r="D837" s="0" t="n">
        <v>-8.97</v>
      </c>
      <c r="E837" s="0" t="n">
        <v>2581357.67</v>
      </c>
      <c r="F837" s="0" t="n">
        <v>259193.44</v>
      </c>
      <c r="G837" s="0" t="n">
        <v>2840551.11</v>
      </c>
      <c r="H837" s="0" t="n">
        <v>8.8603</v>
      </c>
      <c r="I837" s="0" t="n">
        <v>2840551.11</v>
      </c>
    </row>
    <row r="838" customFormat="false" ht="15" hidden="false" customHeight="false" outlineLevel="0" collapsed="false">
      <c r="A838" s="0" t="n">
        <v>837</v>
      </c>
      <c r="B838" s="0" t="n">
        <v>2.77</v>
      </c>
      <c r="C838" s="0" t="n">
        <v>22.13</v>
      </c>
      <c r="D838" s="0" t="n">
        <v>-11.23</v>
      </c>
      <c r="E838" s="0" t="n">
        <v>-37380.29</v>
      </c>
      <c r="F838" s="0" t="n">
        <v>54.35</v>
      </c>
      <c r="G838" s="0" t="n">
        <v>-37325.94</v>
      </c>
      <c r="H838" s="0" t="n">
        <v>-0.1164</v>
      </c>
      <c r="I838" s="0" t="n">
        <v>37325.94</v>
      </c>
    </row>
    <row r="839" customFormat="false" ht="15" hidden="false" customHeight="false" outlineLevel="0" collapsed="false">
      <c r="A839" s="0" t="n">
        <v>838</v>
      </c>
      <c r="B839" s="0" t="n">
        <v>-19.16</v>
      </c>
      <c r="C839" s="0" t="n">
        <v>-25.73</v>
      </c>
      <c r="D839" s="0" t="n">
        <v>67.36</v>
      </c>
      <c r="E839" s="0" t="n">
        <v>258198.11</v>
      </c>
      <c r="F839" s="0" t="n">
        <v>2593.19</v>
      </c>
      <c r="G839" s="0" t="n">
        <v>260791.3</v>
      </c>
      <c r="H839" s="0" t="n">
        <v>0.8135</v>
      </c>
      <c r="I839" s="0" t="n">
        <v>260791.3</v>
      </c>
    </row>
    <row r="840" customFormat="false" ht="15" hidden="false" customHeight="false" outlineLevel="0" collapsed="false">
      <c r="A840" s="0" t="n">
        <v>839</v>
      </c>
      <c r="B840" s="0" t="n">
        <v>5.26</v>
      </c>
      <c r="C840" s="0" t="n">
        <v>-6.84</v>
      </c>
      <c r="D840" s="0" t="n">
        <v>42.75</v>
      </c>
      <c r="E840" s="0" t="n">
        <v>-70830.22</v>
      </c>
      <c r="F840" s="0" t="n">
        <v>195.15</v>
      </c>
      <c r="G840" s="0" t="n">
        <v>-70635.07</v>
      </c>
      <c r="H840" s="0" t="n">
        <v>-0.2203</v>
      </c>
      <c r="I840" s="0" t="n">
        <v>70635.07</v>
      </c>
    </row>
    <row r="841" customFormat="false" ht="15" hidden="false" customHeight="false" outlineLevel="0" collapsed="false">
      <c r="A841" s="0" t="n">
        <v>840</v>
      </c>
      <c r="B841" s="0" t="n">
        <v>-47.9</v>
      </c>
      <c r="C841" s="0" t="n">
        <v>24.68</v>
      </c>
      <c r="D841" s="0" t="n">
        <v>-6.69</v>
      </c>
      <c r="E841" s="0" t="n">
        <v>645420.11</v>
      </c>
      <c r="F841" s="0" t="n">
        <v>16203.64</v>
      </c>
      <c r="G841" s="0" t="n">
        <v>661623.75</v>
      </c>
      <c r="H841" s="0" t="n">
        <v>2.0637</v>
      </c>
      <c r="I841" s="0" t="n">
        <v>661623.75</v>
      </c>
    </row>
    <row r="842" customFormat="false" ht="15" hidden="false" customHeight="false" outlineLevel="0" collapsed="false">
      <c r="A842" s="0" t="n">
        <v>841</v>
      </c>
      <c r="B842" s="0" t="n">
        <v>-152.01</v>
      </c>
      <c r="C842" s="0" t="n">
        <v>1.05</v>
      </c>
      <c r="D842" s="0" t="n">
        <v>-16.42</v>
      </c>
      <c r="E842" s="0" t="n">
        <v>2048327.11</v>
      </c>
      <c r="F842" s="0" t="n">
        <v>163202.29</v>
      </c>
      <c r="G842" s="0" t="n">
        <v>2211529.4</v>
      </c>
      <c r="H842" s="0" t="n">
        <v>6.8982</v>
      </c>
      <c r="I842" s="0" t="n">
        <v>2211529.4</v>
      </c>
    </row>
    <row r="843" customFormat="false" ht="15" hidden="false" customHeight="false" outlineLevel="0" collapsed="false">
      <c r="A843" s="0" t="n">
        <v>842</v>
      </c>
      <c r="B843" s="0" t="n">
        <v>-110.48</v>
      </c>
      <c r="C843" s="0" t="n">
        <v>5.93</v>
      </c>
      <c r="D843" s="0" t="n">
        <v>3.54</v>
      </c>
      <c r="E843" s="0" t="n">
        <v>1488707.63</v>
      </c>
      <c r="F843" s="0" t="n">
        <v>86207.78</v>
      </c>
      <c r="G843" s="0" t="n">
        <v>1574915.41</v>
      </c>
      <c r="H843" s="0" t="n">
        <v>4.9125</v>
      </c>
      <c r="I843" s="0" t="n">
        <v>1574915.41</v>
      </c>
    </row>
    <row r="844" customFormat="false" ht="15" hidden="false" customHeight="false" outlineLevel="0" collapsed="false">
      <c r="A844" s="0" t="n">
        <v>843</v>
      </c>
      <c r="B844" s="0" t="n">
        <v>69.26</v>
      </c>
      <c r="C844" s="0" t="n">
        <v>87.76</v>
      </c>
      <c r="D844" s="0" t="n">
        <v>31.53</v>
      </c>
      <c r="E844" s="0" t="n">
        <v>-933260.24</v>
      </c>
      <c r="F844" s="0" t="n">
        <v>33879.2</v>
      </c>
      <c r="G844" s="0" t="n">
        <v>-899381.04</v>
      </c>
      <c r="H844" s="0" t="n">
        <v>-2.8054</v>
      </c>
      <c r="I844" s="0" t="n">
        <v>899381.04</v>
      </c>
    </row>
    <row r="845" customFormat="false" ht="15" hidden="false" customHeight="false" outlineLevel="0" collapsed="false">
      <c r="A845" s="0" t="n">
        <v>844</v>
      </c>
      <c r="B845" s="0" t="n">
        <v>4.82</v>
      </c>
      <c r="C845" s="0" t="n">
        <v>-44.94</v>
      </c>
      <c r="D845" s="0" t="n">
        <v>-5.91</v>
      </c>
      <c r="E845" s="0" t="n">
        <v>-64910.17</v>
      </c>
      <c r="F845" s="0" t="n">
        <v>163.89</v>
      </c>
      <c r="G845" s="0" t="n">
        <v>-64746.28</v>
      </c>
      <c r="H845" s="0" t="n">
        <v>-0.202</v>
      </c>
      <c r="I845" s="0" t="n">
        <v>64746.28</v>
      </c>
    </row>
    <row r="846" customFormat="false" ht="15" hidden="false" customHeight="false" outlineLevel="0" collapsed="false">
      <c r="A846" s="0" t="n">
        <v>845</v>
      </c>
      <c r="B846" s="0" t="n">
        <v>147.03</v>
      </c>
      <c r="C846" s="0" t="n">
        <v>-2.67</v>
      </c>
      <c r="D846" s="0" t="n">
        <v>99.16</v>
      </c>
      <c r="E846" s="0" t="n">
        <v>-1981179.75</v>
      </c>
      <c r="F846" s="0" t="n">
        <v>152677.62</v>
      </c>
      <c r="G846" s="0" t="n">
        <v>-1828502.13</v>
      </c>
      <c r="H846" s="0" t="n">
        <v>-5.7035</v>
      </c>
      <c r="I846" s="0" t="n">
        <v>1828502.13</v>
      </c>
    </row>
    <row r="847" customFormat="false" ht="15" hidden="false" customHeight="false" outlineLevel="0" collapsed="false">
      <c r="A847" s="0" t="n">
        <v>846</v>
      </c>
      <c r="B847" s="0" t="n">
        <v>-180.48</v>
      </c>
      <c r="C847" s="0" t="n">
        <v>71.41</v>
      </c>
      <c r="D847" s="0" t="n">
        <v>-15.44</v>
      </c>
      <c r="E847" s="0" t="n">
        <v>2431942.03</v>
      </c>
      <c r="F847" s="0" t="n">
        <v>230056.27</v>
      </c>
      <c r="G847" s="0" t="n">
        <v>2661998.3</v>
      </c>
      <c r="H847" s="0" t="n">
        <v>8.3033</v>
      </c>
      <c r="I847" s="0" t="n">
        <v>2661998.3</v>
      </c>
    </row>
    <row r="848" customFormat="false" ht="15" hidden="false" customHeight="false" outlineLevel="0" collapsed="false">
      <c r="A848" s="0" t="n">
        <v>847</v>
      </c>
      <c r="B848" s="0" t="n">
        <v>105.28</v>
      </c>
      <c r="C848" s="0" t="n">
        <v>14.35</v>
      </c>
      <c r="D848" s="0" t="n">
        <v>33.91</v>
      </c>
      <c r="E848" s="0" t="n">
        <v>-1418660.34</v>
      </c>
      <c r="F848" s="0" t="n">
        <v>78286.07</v>
      </c>
      <c r="G848" s="0" t="n">
        <v>-1340374.27</v>
      </c>
      <c r="H848" s="0" t="n">
        <v>-4.1809</v>
      </c>
      <c r="I848" s="0" t="n">
        <v>1340374.27</v>
      </c>
    </row>
    <row r="849" customFormat="false" ht="15" hidden="false" customHeight="false" outlineLevel="0" collapsed="false">
      <c r="A849" s="0" t="n">
        <v>848</v>
      </c>
      <c r="B849" s="0" t="n">
        <v>201.16</v>
      </c>
      <c r="C849" s="0" t="n">
        <v>9.31</v>
      </c>
      <c r="D849" s="0" t="n">
        <v>-64.68</v>
      </c>
      <c r="E849" s="0" t="n">
        <v>-2710626.39</v>
      </c>
      <c r="F849" s="0" t="n">
        <v>285803.11</v>
      </c>
      <c r="G849" s="0" t="n">
        <v>-2424823.27</v>
      </c>
      <c r="H849" s="0" t="n">
        <v>-7.5635</v>
      </c>
      <c r="I849" s="0" t="n">
        <v>2424823.27</v>
      </c>
    </row>
    <row r="850" customFormat="false" ht="15" hidden="false" customHeight="false" outlineLevel="0" collapsed="false">
      <c r="A850" s="0" t="n">
        <v>849</v>
      </c>
      <c r="B850" s="0" t="n">
        <v>43.52</v>
      </c>
      <c r="C850" s="0" t="n">
        <v>42.58</v>
      </c>
      <c r="D850" s="0" t="n">
        <v>18.74</v>
      </c>
      <c r="E850" s="0" t="n">
        <v>-586427.85</v>
      </c>
      <c r="F850" s="0" t="n">
        <v>13376.94</v>
      </c>
      <c r="G850" s="0" t="n">
        <v>-573050.91</v>
      </c>
      <c r="H850" s="0" t="n">
        <v>-1.7875</v>
      </c>
      <c r="I850" s="0" t="n">
        <v>573050.91</v>
      </c>
    </row>
    <row r="851" customFormat="false" ht="15" hidden="false" customHeight="false" outlineLevel="0" collapsed="false">
      <c r="A851" s="0" t="n">
        <v>850</v>
      </c>
      <c r="B851" s="0" t="n">
        <v>69.38</v>
      </c>
      <c r="C851" s="0" t="n">
        <v>55.52</v>
      </c>
      <c r="D851" s="0" t="n">
        <v>11.03</v>
      </c>
      <c r="E851" s="0" t="n">
        <v>-934875.23</v>
      </c>
      <c r="F851" s="0" t="n">
        <v>33996.56</v>
      </c>
      <c r="G851" s="0" t="n">
        <v>-900878.67</v>
      </c>
      <c r="H851" s="0" t="n">
        <v>-2.81</v>
      </c>
      <c r="I851" s="0" t="n">
        <v>900878.67</v>
      </c>
    </row>
    <row r="852" customFormat="false" ht="15" hidden="false" customHeight="false" outlineLevel="0" collapsed="false">
      <c r="A852" s="0" t="n">
        <v>851</v>
      </c>
      <c r="B852" s="0" t="n">
        <v>126.71</v>
      </c>
      <c r="C852" s="0" t="n">
        <v>116.08</v>
      </c>
      <c r="D852" s="0" t="n">
        <v>-23.74</v>
      </c>
      <c r="E852" s="0" t="n">
        <v>-1707412.25</v>
      </c>
      <c r="F852" s="0" t="n">
        <v>113397.75</v>
      </c>
      <c r="G852" s="0" t="n">
        <v>-1594014.51</v>
      </c>
      <c r="H852" s="0" t="n">
        <v>-4.9721</v>
      </c>
      <c r="I852" s="0" t="n">
        <v>1594014.51</v>
      </c>
    </row>
    <row r="853" customFormat="false" ht="15" hidden="false" customHeight="false" outlineLevel="0" collapsed="false">
      <c r="A853" s="0" t="n">
        <v>852</v>
      </c>
      <c r="B853" s="0" t="n">
        <v>128.32</v>
      </c>
      <c r="C853" s="0" t="n">
        <v>47.91</v>
      </c>
      <c r="D853" s="0" t="n">
        <v>-50.97</v>
      </c>
      <c r="E853" s="0" t="n">
        <v>-1729122.74</v>
      </c>
      <c r="F853" s="0" t="n">
        <v>116299.88</v>
      </c>
      <c r="G853" s="0" t="n">
        <v>-1612822.86</v>
      </c>
      <c r="H853" s="0" t="n">
        <v>-5.0307</v>
      </c>
      <c r="I853" s="0" t="n">
        <v>1612822.86</v>
      </c>
    </row>
    <row r="854" customFormat="false" ht="15" hidden="false" customHeight="false" outlineLevel="0" collapsed="false">
      <c r="A854" s="0" t="n">
        <v>853</v>
      </c>
      <c r="B854" s="0" t="n">
        <v>51.88</v>
      </c>
      <c r="C854" s="0" t="n">
        <v>-32.25</v>
      </c>
      <c r="D854" s="0" t="n">
        <v>-23.4</v>
      </c>
      <c r="E854" s="0" t="n">
        <v>-699059.04</v>
      </c>
      <c r="F854" s="0" t="n">
        <v>19008.83</v>
      </c>
      <c r="G854" s="0" t="n">
        <v>-680050.21</v>
      </c>
      <c r="H854" s="0" t="n">
        <v>-2.1212</v>
      </c>
      <c r="I854" s="0" t="n">
        <v>680050.21</v>
      </c>
    </row>
    <row r="855" customFormat="false" ht="15" hidden="false" customHeight="false" outlineLevel="0" collapsed="false">
      <c r="A855" s="0" t="n">
        <v>854</v>
      </c>
      <c r="B855" s="0" t="n">
        <v>8.3</v>
      </c>
      <c r="C855" s="0" t="n">
        <v>70.61</v>
      </c>
      <c r="D855" s="0" t="n">
        <v>0.59</v>
      </c>
      <c r="E855" s="0" t="n">
        <v>-111844.64</v>
      </c>
      <c r="F855" s="0" t="n">
        <v>486.58</v>
      </c>
      <c r="G855" s="0" t="n">
        <v>-111358.06</v>
      </c>
      <c r="H855" s="0" t="n">
        <v>-0.3473</v>
      </c>
      <c r="I855" s="0" t="n">
        <v>111358.06</v>
      </c>
    </row>
    <row r="856" customFormat="false" ht="15" hidden="false" customHeight="false" outlineLevel="0" collapsed="false">
      <c r="A856" s="0" t="n">
        <v>855</v>
      </c>
      <c r="B856" s="0" t="n">
        <v>-177.75</v>
      </c>
      <c r="C856" s="0" t="n">
        <v>70.18</v>
      </c>
      <c r="D856" s="0" t="n">
        <v>68.46</v>
      </c>
      <c r="E856" s="0" t="n">
        <v>2395121.71</v>
      </c>
      <c r="F856" s="0" t="n">
        <v>223142.76</v>
      </c>
      <c r="G856" s="0" t="n">
        <v>2618264.47</v>
      </c>
      <c r="H856" s="0" t="n">
        <v>8.1669</v>
      </c>
      <c r="I856" s="0" t="n">
        <v>2618264.47</v>
      </c>
    </row>
    <row r="857" customFormat="false" ht="15" hidden="false" customHeight="false" outlineLevel="0" collapsed="false">
      <c r="A857" s="0" t="n">
        <v>856</v>
      </c>
      <c r="B857" s="0" t="n">
        <v>-108.95</v>
      </c>
      <c r="C857" s="0" t="n">
        <v>-105.3</v>
      </c>
      <c r="D857" s="0" t="n">
        <v>-6.18</v>
      </c>
      <c r="E857" s="0" t="n">
        <v>1468116.55</v>
      </c>
      <c r="F857" s="0" t="n">
        <v>83839.5</v>
      </c>
      <c r="G857" s="0" t="n">
        <v>1551956.06</v>
      </c>
      <c r="H857" s="0" t="n">
        <v>4.8409</v>
      </c>
      <c r="I857" s="0" t="n">
        <v>1551956.06</v>
      </c>
    </row>
    <row r="858" customFormat="false" ht="15" hidden="false" customHeight="false" outlineLevel="0" collapsed="false">
      <c r="A858" s="0" t="n">
        <v>857</v>
      </c>
      <c r="B858" s="0" t="n">
        <v>194.04</v>
      </c>
      <c r="C858" s="0" t="n">
        <v>-41.69</v>
      </c>
      <c r="D858" s="0" t="n">
        <v>5.98</v>
      </c>
      <c r="E858" s="0" t="n">
        <v>-2614745.21</v>
      </c>
      <c r="F858" s="0" t="n">
        <v>265941.67</v>
      </c>
      <c r="G858" s="0" t="n">
        <v>-2348803.55</v>
      </c>
      <c r="H858" s="0" t="n">
        <v>-7.3264</v>
      </c>
      <c r="I858" s="0" t="n">
        <v>2348803.55</v>
      </c>
    </row>
    <row r="859" customFormat="false" ht="15" hidden="false" customHeight="false" outlineLevel="0" collapsed="false">
      <c r="A859" s="0" t="n">
        <v>858</v>
      </c>
      <c r="B859" s="0" t="n">
        <v>-28.05</v>
      </c>
      <c r="C859" s="0" t="n">
        <v>55.5</v>
      </c>
      <c r="D859" s="0" t="n">
        <v>1.23</v>
      </c>
      <c r="E859" s="0" t="n">
        <v>377965.02</v>
      </c>
      <c r="F859" s="0" t="n">
        <v>5556.88</v>
      </c>
      <c r="G859" s="0" t="n">
        <v>383521.9</v>
      </c>
      <c r="H859" s="0" t="n">
        <v>1.1963</v>
      </c>
      <c r="I859" s="0" t="n">
        <v>383521.9</v>
      </c>
    </row>
    <row r="860" customFormat="false" ht="15" hidden="false" customHeight="false" outlineLevel="0" collapsed="false">
      <c r="A860" s="0" t="n">
        <v>859</v>
      </c>
      <c r="B860" s="0" t="n">
        <v>-14.24</v>
      </c>
      <c r="C860" s="0" t="n">
        <v>22.72</v>
      </c>
      <c r="D860" s="0" t="n">
        <v>-28.16</v>
      </c>
      <c r="E860" s="0" t="n">
        <v>191928.36</v>
      </c>
      <c r="F860" s="0" t="n">
        <v>1432.87</v>
      </c>
      <c r="G860" s="0" t="n">
        <v>193361.23</v>
      </c>
      <c r="H860" s="0" t="n">
        <v>0.6031</v>
      </c>
      <c r="I860" s="0" t="n">
        <v>193361.23</v>
      </c>
    </row>
    <row r="861" customFormat="false" ht="15" hidden="false" customHeight="false" outlineLevel="0" collapsed="false">
      <c r="A861" s="0" t="n">
        <v>860</v>
      </c>
      <c r="B861" s="0" t="n">
        <v>129.69</v>
      </c>
      <c r="C861" s="0" t="n">
        <v>-5.45</v>
      </c>
      <c r="D861" s="0" t="n">
        <v>2.31</v>
      </c>
      <c r="E861" s="0" t="n">
        <v>-1747605.05</v>
      </c>
      <c r="F861" s="0" t="n">
        <v>118799.39</v>
      </c>
      <c r="G861" s="0" t="n">
        <v>-1628805.66</v>
      </c>
      <c r="H861" s="0" t="n">
        <v>-5.0806</v>
      </c>
      <c r="I861" s="0" t="n">
        <v>1628805.66</v>
      </c>
    </row>
    <row r="862" customFormat="false" ht="15" hidden="false" customHeight="false" outlineLevel="0" collapsed="false">
      <c r="A862" s="0" t="n">
        <v>861</v>
      </c>
      <c r="B862" s="0" t="n">
        <v>-60.17</v>
      </c>
      <c r="C862" s="0" t="n">
        <v>13.97</v>
      </c>
      <c r="D862" s="0" t="n">
        <v>-63.1</v>
      </c>
      <c r="E862" s="0" t="n">
        <v>810816.59</v>
      </c>
      <c r="F862" s="0" t="n">
        <v>25572.48</v>
      </c>
      <c r="G862" s="0" t="n">
        <v>836389.07</v>
      </c>
      <c r="H862" s="0" t="n">
        <v>2.6089</v>
      </c>
      <c r="I862" s="0" t="n">
        <v>836389.07</v>
      </c>
    </row>
    <row r="863" customFormat="false" ht="15" hidden="false" customHeight="false" outlineLevel="0" collapsed="false">
      <c r="A863" s="0" t="n">
        <v>862</v>
      </c>
      <c r="B863" s="0" t="n">
        <v>-38.89</v>
      </c>
      <c r="C863" s="0" t="n">
        <v>-93.58</v>
      </c>
      <c r="D863" s="0" t="n">
        <v>35.28</v>
      </c>
      <c r="E863" s="0" t="n">
        <v>524023.42</v>
      </c>
      <c r="F863" s="0" t="n">
        <v>10681.42</v>
      </c>
      <c r="G863" s="0" t="n">
        <v>534704.84</v>
      </c>
      <c r="H863" s="0" t="n">
        <v>1.6679</v>
      </c>
      <c r="I863" s="0" t="n">
        <v>534704.84</v>
      </c>
    </row>
    <row r="864" customFormat="false" ht="15" hidden="false" customHeight="false" outlineLevel="0" collapsed="false">
      <c r="A864" s="0" t="n">
        <v>863</v>
      </c>
      <c r="B864" s="0" t="n">
        <v>171.14</v>
      </c>
      <c r="C864" s="0" t="n">
        <v>3.72</v>
      </c>
      <c r="D864" s="0" t="n">
        <v>-0.03</v>
      </c>
      <c r="E864" s="0" t="n">
        <v>-2306158.36</v>
      </c>
      <c r="F864" s="0" t="n">
        <v>206873.99</v>
      </c>
      <c r="G864" s="0" t="n">
        <v>-2099284.37</v>
      </c>
      <c r="H864" s="0" t="n">
        <v>-6.5481</v>
      </c>
      <c r="I864" s="0" t="n">
        <v>2099284.37</v>
      </c>
    </row>
    <row r="865" customFormat="false" ht="15" hidden="false" customHeight="false" outlineLevel="0" collapsed="false">
      <c r="A865" s="0" t="n">
        <v>864</v>
      </c>
      <c r="B865" s="0" t="n">
        <v>112.8</v>
      </c>
      <c r="C865" s="0" t="n">
        <v>-33.52</v>
      </c>
      <c r="D865" s="0" t="n">
        <v>20.29</v>
      </c>
      <c r="E865" s="0" t="n">
        <v>-1519981.67</v>
      </c>
      <c r="F865" s="0" t="n">
        <v>89867.85</v>
      </c>
      <c r="G865" s="0" t="n">
        <v>-1430113.82</v>
      </c>
      <c r="H865" s="0" t="n">
        <v>-4.4608</v>
      </c>
      <c r="I865" s="0" t="n">
        <v>1430113.82</v>
      </c>
    </row>
    <row r="866" customFormat="false" ht="15" hidden="false" customHeight="false" outlineLevel="0" collapsed="false">
      <c r="A866" s="0" t="n">
        <v>865</v>
      </c>
      <c r="B866" s="0" t="n">
        <v>96.62</v>
      </c>
      <c r="C866" s="0" t="n">
        <v>-38.86</v>
      </c>
      <c r="D866" s="0" t="n">
        <v>-11.04</v>
      </c>
      <c r="E866" s="0" t="n">
        <v>-1301995.88</v>
      </c>
      <c r="F866" s="0" t="n">
        <v>65939.68</v>
      </c>
      <c r="G866" s="0" t="n">
        <v>-1236056.19</v>
      </c>
      <c r="H866" s="0" t="n">
        <v>-3.8555</v>
      </c>
      <c r="I866" s="0" t="n">
        <v>1236056.19</v>
      </c>
    </row>
    <row r="867" customFormat="false" ht="15" hidden="false" customHeight="false" outlineLevel="0" collapsed="false">
      <c r="A867" s="0" t="n">
        <v>866</v>
      </c>
      <c r="B867" s="0" t="n">
        <v>299.21</v>
      </c>
      <c r="C867" s="0" t="n">
        <v>-29.88</v>
      </c>
      <c r="D867" s="0" t="n">
        <v>-26.84</v>
      </c>
      <c r="E867" s="0" t="n">
        <v>-4031810.81</v>
      </c>
      <c r="F867" s="0" t="n">
        <v>632306.9</v>
      </c>
      <c r="G867" s="0" t="n">
        <v>-3399503.91</v>
      </c>
      <c r="H867" s="0" t="n">
        <v>-10.6038</v>
      </c>
      <c r="I867" s="0" t="n">
        <v>3399503.91</v>
      </c>
    </row>
    <row r="868" customFormat="false" ht="15" hidden="false" customHeight="false" outlineLevel="0" collapsed="false">
      <c r="A868" s="0" t="n">
        <v>867</v>
      </c>
      <c r="B868" s="0" t="n">
        <v>105.8</v>
      </c>
      <c r="C868" s="0" t="n">
        <v>63.84</v>
      </c>
      <c r="D868" s="0" t="n">
        <v>62.18</v>
      </c>
      <c r="E868" s="0" t="n">
        <v>-1425584.52</v>
      </c>
      <c r="F868" s="0" t="n">
        <v>79052.13</v>
      </c>
      <c r="G868" s="0" t="n">
        <v>-1346532.39</v>
      </c>
      <c r="H868" s="0" t="n">
        <v>-4.2001</v>
      </c>
      <c r="I868" s="0" t="n">
        <v>1346532.39</v>
      </c>
    </row>
    <row r="869" customFormat="false" ht="15" hidden="false" customHeight="false" outlineLevel="0" collapsed="false">
      <c r="A869" s="0" t="n">
        <v>868</v>
      </c>
      <c r="B869" s="0" t="n">
        <v>7.57</v>
      </c>
      <c r="C869" s="0" t="n">
        <v>-6.14</v>
      </c>
      <c r="D869" s="0" t="n">
        <v>-14.06</v>
      </c>
      <c r="E869" s="0" t="n">
        <v>-101997.63</v>
      </c>
      <c r="F869" s="0" t="n">
        <v>404.68</v>
      </c>
      <c r="G869" s="0" t="n">
        <v>-101592.95</v>
      </c>
      <c r="H869" s="0" t="n">
        <v>-0.3169</v>
      </c>
      <c r="I869" s="0" t="n">
        <v>101592.95</v>
      </c>
    </row>
    <row r="870" customFormat="false" ht="15" hidden="false" customHeight="false" outlineLevel="0" collapsed="false">
      <c r="A870" s="0" t="n">
        <v>869</v>
      </c>
      <c r="B870" s="0" t="n">
        <v>-11.65</v>
      </c>
      <c r="C870" s="0" t="n">
        <v>26.14</v>
      </c>
      <c r="D870" s="0" t="n">
        <v>-23.67</v>
      </c>
      <c r="E870" s="0" t="n">
        <v>157031.5</v>
      </c>
      <c r="F870" s="0" t="n">
        <v>959.18</v>
      </c>
      <c r="G870" s="0" t="n">
        <v>157990.68</v>
      </c>
      <c r="H870" s="0" t="n">
        <v>0.4928</v>
      </c>
      <c r="I870" s="0" t="n">
        <v>157990.68</v>
      </c>
    </row>
    <row r="871" customFormat="false" ht="15" hidden="false" customHeight="false" outlineLevel="0" collapsed="false">
      <c r="A871" s="0" t="n">
        <v>870</v>
      </c>
      <c r="B871" s="0" t="n">
        <v>42.69</v>
      </c>
      <c r="C871" s="0" t="n">
        <v>72.61</v>
      </c>
      <c r="D871" s="0" t="n">
        <v>8.77</v>
      </c>
      <c r="E871" s="0" t="n">
        <v>-575248.55</v>
      </c>
      <c r="F871" s="0" t="n">
        <v>12871.78</v>
      </c>
      <c r="G871" s="0" t="n">
        <v>-562376.77</v>
      </c>
      <c r="H871" s="0" t="n">
        <v>-1.7542</v>
      </c>
      <c r="I871" s="0" t="n">
        <v>562376.77</v>
      </c>
    </row>
    <row r="872" customFormat="false" ht="15" hidden="false" customHeight="false" outlineLevel="0" collapsed="false">
      <c r="A872" s="0" t="n">
        <v>871</v>
      </c>
      <c r="B872" s="0" t="n">
        <v>240.22</v>
      </c>
      <c r="C872" s="0" t="n">
        <v>-40.39</v>
      </c>
      <c r="D872" s="0" t="n">
        <v>15</v>
      </c>
      <c r="E872" s="0" t="n">
        <v>-3236900.43</v>
      </c>
      <c r="F872" s="0" t="n">
        <v>407555.08</v>
      </c>
      <c r="G872" s="0" t="n">
        <v>-2829345.35</v>
      </c>
      <c r="H872" s="0" t="n">
        <v>-8.8253</v>
      </c>
      <c r="I872" s="0" t="n">
        <v>2829345.35</v>
      </c>
    </row>
    <row r="873" customFormat="false" ht="15" hidden="false" customHeight="false" outlineLevel="0" collapsed="false">
      <c r="A873" s="0" t="n">
        <v>872</v>
      </c>
      <c r="B873" s="0" t="n">
        <v>-5.38</v>
      </c>
      <c r="C873" s="0" t="n">
        <v>-58.36</v>
      </c>
      <c r="D873" s="0" t="n">
        <v>2.41</v>
      </c>
      <c r="E873" s="0" t="n">
        <v>72549.72</v>
      </c>
      <c r="F873" s="0" t="n">
        <v>204.74</v>
      </c>
      <c r="G873" s="0" t="n">
        <v>72754.46</v>
      </c>
      <c r="H873" s="0" t="n">
        <v>0.2269</v>
      </c>
      <c r="I873" s="0" t="n">
        <v>72754.46</v>
      </c>
    </row>
    <row r="874" customFormat="false" ht="15" hidden="false" customHeight="false" outlineLevel="0" collapsed="false">
      <c r="A874" s="0" t="n">
        <v>873</v>
      </c>
      <c r="B874" s="0" t="n">
        <v>-21.72</v>
      </c>
      <c r="C874" s="0" t="n">
        <v>-23.74</v>
      </c>
      <c r="D874" s="0" t="n">
        <v>0.36</v>
      </c>
      <c r="E874" s="0" t="n">
        <v>292608.91</v>
      </c>
      <c r="F874" s="0" t="n">
        <v>3330.45</v>
      </c>
      <c r="G874" s="0" t="n">
        <v>295939.36</v>
      </c>
      <c r="H874" s="0" t="n">
        <v>0.9231</v>
      </c>
      <c r="I874" s="0" t="n">
        <v>295939.36</v>
      </c>
    </row>
    <row r="875" customFormat="false" ht="15" hidden="false" customHeight="false" outlineLevel="0" collapsed="false">
      <c r="A875" s="0" t="n">
        <v>874</v>
      </c>
      <c r="B875" s="0" t="n">
        <v>-174.1</v>
      </c>
      <c r="C875" s="0" t="n">
        <v>-65.05</v>
      </c>
      <c r="D875" s="0" t="n">
        <v>28.4</v>
      </c>
      <c r="E875" s="0" t="n">
        <v>2346030.74</v>
      </c>
      <c r="F875" s="0" t="n">
        <v>214089.33</v>
      </c>
      <c r="G875" s="0" t="n">
        <v>2560120.07</v>
      </c>
      <c r="H875" s="0" t="n">
        <v>7.9856</v>
      </c>
      <c r="I875" s="0" t="n">
        <v>2560120.07</v>
      </c>
    </row>
    <row r="876" customFormat="false" ht="15" hidden="false" customHeight="false" outlineLevel="0" collapsed="false">
      <c r="A876" s="0" t="n">
        <v>875</v>
      </c>
      <c r="B876" s="0" t="n">
        <v>-9.52</v>
      </c>
      <c r="C876" s="0" t="n">
        <v>-93.33</v>
      </c>
      <c r="D876" s="0" t="n">
        <v>51.16</v>
      </c>
      <c r="E876" s="0" t="n">
        <v>128228.45</v>
      </c>
      <c r="F876" s="0" t="n">
        <v>639.58</v>
      </c>
      <c r="G876" s="0" t="n">
        <v>128868.03</v>
      </c>
      <c r="H876" s="0" t="n">
        <v>0.402</v>
      </c>
      <c r="I876" s="0" t="n">
        <v>128868.03</v>
      </c>
    </row>
    <row r="877" customFormat="false" ht="15" hidden="false" customHeight="false" outlineLevel="0" collapsed="false">
      <c r="A877" s="0" t="n">
        <v>876</v>
      </c>
      <c r="B877" s="0" t="n">
        <v>184.86</v>
      </c>
      <c r="C877" s="0" t="n">
        <v>6.88</v>
      </c>
      <c r="D877" s="0" t="n">
        <v>-15.02</v>
      </c>
      <c r="E877" s="0" t="n">
        <v>-2490947.46</v>
      </c>
      <c r="F877" s="0" t="n">
        <v>241355.26</v>
      </c>
      <c r="G877" s="0" t="n">
        <v>-2249592.2</v>
      </c>
      <c r="H877" s="0" t="n">
        <v>-7.017</v>
      </c>
      <c r="I877" s="0" t="n">
        <v>2249592.2</v>
      </c>
    </row>
    <row r="878" customFormat="false" ht="15" hidden="false" customHeight="false" outlineLevel="0" collapsed="false">
      <c r="A878" s="0" t="n">
        <v>877</v>
      </c>
      <c r="B878" s="0" t="n">
        <v>-9.24</v>
      </c>
      <c r="C878" s="0" t="n">
        <v>6.88</v>
      </c>
      <c r="D878" s="0" t="n">
        <v>-3.93</v>
      </c>
      <c r="E878" s="0" t="n">
        <v>124546.38</v>
      </c>
      <c r="F878" s="0" t="n">
        <v>603.38</v>
      </c>
      <c r="G878" s="0" t="n">
        <v>125149.76</v>
      </c>
      <c r="H878" s="0" t="n">
        <v>0.3904</v>
      </c>
      <c r="I878" s="0" t="n">
        <v>125149.76</v>
      </c>
    </row>
    <row r="879" customFormat="false" ht="15" hidden="false" customHeight="false" outlineLevel="0" collapsed="false">
      <c r="A879" s="0" t="n">
        <v>878</v>
      </c>
      <c r="B879" s="0" t="n">
        <v>-29.96</v>
      </c>
      <c r="C879" s="0" t="n">
        <v>25.48</v>
      </c>
      <c r="D879" s="0" t="n">
        <v>-27.88</v>
      </c>
      <c r="E879" s="0" t="n">
        <v>403688.61</v>
      </c>
      <c r="F879" s="0" t="n">
        <v>6339</v>
      </c>
      <c r="G879" s="0" t="n">
        <v>410027.6</v>
      </c>
      <c r="H879" s="0" t="n">
        <v>1.279</v>
      </c>
      <c r="I879" s="0" t="n">
        <v>410027.6</v>
      </c>
    </row>
    <row r="880" customFormat="false" ht="15" hidden="false" customHeight="false" outlineLevel="0" collapsed="false">
      <c r="A880" s="0" t="n">
        <v>879</v>
      </c>
      <c r="B880" s="0" t="n">
        <v>-10.41</v>
      </c>
      <c r="C880" s="0" t="n">
        <v>-3.64</v>
      </c>
      <c r="D880" s="0" t="n">
        <v>-24.24</v>
      </c>
      <c r="E880" s="0" t="n">
        <v>140238.73</v>
      </c>
      <c r="F880" s="0" t="n">
        <v>765</v>
      </c>
      <c r="G880" s="0" t="n">
        <v>141003.73</v>
      </c>
      <c r="H880" s="0" t="n">
        <v>0.4398</v>
      </c>
      <c r="I880" s="0" t="n">
        <v>141003.73</v>
      </c>
    </row>
    <row r="881" customFormat="false" ht="15" hidden="false" customHeight="false" outlineLevel="0" collapsed="false">
      <c r="A881" s="0" t="n">
        <v>880</v>
      </c>
      <c r="B881" s="0" t="n">
        <v>10.11</v>
      </c>
      <c r="C881" s="0" t="n">
        <v>45.96</v>
      </c>
      <c r="D881" s="0" t="n">
        <v>15.75</v>
      </c>
      <c r="E881" s="0" t="n">
        <v>-136214.83</v>
      </c>
      <c r="F881" s="0" t="n">
        <v>721.73</v>
      </c>
      <c r="G881" s="0" t="n">
        <v>-135493.1</v>
      </c>
      <c r="H881" s="0" t="n">
        <v>-0.4226</v>
      </c>
      <c r="I881" s="0" t="n">
        <v>135493.1</v>
      </c>
    </row>
    <row r="882" customFormat="false" ht="15" hidden="false" customHeight="false" outlineLevel="0" collapsed="false">
      <c r="A882" s="0" t="n">
        <v>881</v>
      </c>
      <c r="B882" s="0" t="n">
        <v>-119.48</v>
      </c>
      <c r="C882" s="0" t="n">
        <v>-54.44</v>
      </c>
      <c r="D882" s="0" t="n">
        <v>9.42</v>
      </c>
      <c r="E882" s="0" t="n">
        <v>1610053.28</v>
      </c>
      <c r="F882" s="0" t="n">
        <v>100834.26</v>
      </c>
      <c r="G882" s="0" t="n">
        <v>1710887.54</v>
      </c>
      <c r="H882" s="0" t="n">
        <v>5.3366</v>
      </c>
      <c r="I882" s="0" t="n">
        <v>1710887.54</v>
      </c>
    </row>
    <row r="883" customFormat="false" ht="15" hidden="false" customHeight="false" outlineLevel="0" collapsed="false">
      <c r="A883" s="0" t="n">
        <v>882</v>
      </c>
      <c r="B883" s="0" t="n">
        <v>74.94</v>
      </c>
      <c r="C883" s="0" t="n">
        <v>29.33</v>
      </c>
      <c r="D883" s="0" t="n">
        <v>15.52</v>
      </c>
      <c r="E883" s="0" t="n">
        <v>-1009822.18</v>
      </c>
      <c r="F883" s="0" t="n">
        <v>39665.91</v>
      </c>
      <c r="G883" s="0" t="n">
        <v>-970156.27</v>
      </c>
      <c r="H883" s="0" t="n">
        <v>-3.0261</v>
      </c>
      <c r="I883" s="0" t="n">
        <v>970156.27</v>
      </c>
    </row>
    <row r="884" customFormat="false" ht="15" hidden="false" customHeight="false" outlineLevel="0" collapsed="false">
      <c r="A884" s="0" t="n">
        <v>883</v>
      </c>
      <c r="B884" s="0" t="n">
        <v>-44.94</v>
      </c>
      <c r="C884" s="0" t="n">
        <v>-70.59</v>
      </c>
      <c r="D884" s="0" t="n">
        <v>-30.69</v>
      </c>
      <c r="E884" s="0" t="n">
        <v>605533.28</v>
      </c>
      <c r="F884" s="0" t="n">
        <v>14262.76</v>
      </c>
      <c r="G884" s="0" t="n">
        <v>619796.04</v>
      </c>
      <c r="H884" s="0" t="n">
        <v>1.9333</v>
      </c>
      <c r="I884" s="0" t="n">
        <v>619796.04</v>
      </c>
    </row>
    <row r="885" customFormat="false" ht="15" hidden="false" customHeight="false" outlineLevel="0" collapsed="false">
      <c r="A885" s="0" t="n">
        <v>884</v>
      </c>
      <c r="B885" s="0" t="n">
        <v>48.8</v>
      </c>
      <c r="C885" s="0" t="n">
        <v>4.76</v>
      </c>
      <c r="D885" s="0" t="n">
        <v>-13.7</v>
      </c>
      <c r="E885" s="0" t="n">
        <v>-657541.78</v>
      </c>
      <c r="F885" s="0" t="n">
        <v>16818</v>
      </c>
      <c r="G885" s="0" t="n">
        <v>-640723.78</v>
      </c>
      <c r="H885" s="0" t="n">
        <v>-1.9986</v>
      </c>
      <c r="I885" s="0" t="n">
        <v>640723.78</v>
      </c>
    </row>
    <row r="886" customFormat="false" ht="15" hidden="false" customHeight="false" outlineLevel="0" collapsed="false">
      <c r="A886" s="0" t="n">
        <v>885</v>
      </c>
      <c r="B886" s="0" t="n">
        <v>-16.83</v>
      </c>
      <c r="C886" s="0" t="n">
        <v>-68.2</v>
      </c>
      <c r="D886" s="0" t="n">
        <v>22.16</v>
      </c>
      <c r="E886" s="0" t="n">
        <v>226837.01</v>
      </c>
      <c r="F886" s="0" t="n">
        <v>2001.5</v>
      </c>
      <c r="G886" s="0" t="n">
        <v>228838.51</v>
      </c>
      <c r="H886" s="0" t="n">
        <v>0.7138</v>
      </c>
      <c r="I886" s="0" t="n">
        <v>228838.51</v>
      </c>
    </row>
    <row r="887" customFormat="false" ht="15" hidden="false" customHeight="false" outlineLevel="0" collapsed="false">
      <c r="A887" s="0" t="n">
        <v>886</v>
      </c>
      <c r="B887" s="0" t="n">
        <v>182.07</v>
      </c>
      <c r="C887" s="0" t="n">
        <v>-19.57</v>
      </c>
      <c r="D887" s="0" t="n">
        <v>-12.33</v>
      </c>
      <c r="E887" s="0" t="n">
        <v>-2453351.39</v>
      </c>
      <c r="F887" s="0" t="n">
        <v>234124.65</v>
      </c>
      <c r="G887" s="0" t="n">
        <v>-2219226.74</v>
      </c>
      <c r="H887" s="0" t="n">
        <v>-6.9222</v>
      </c>
      <c r="I887" s="0" t="n">
        <v>2219226.74</v>
      </c>
    </row>
    <row r="888" customFormat="false" ht="15" hidden="false" customHeight="false" outlineLevel="0" collapsed="false">
      <c r="A888" s="0" t="n">
        <v>887</v>
      </c>
      <c r="B888" s="0" t="n">
        <v>73.63</v>
      </c>
      <c r="C888" s="0" t="n">
        <v>34.78</v>
      </c>
      <c r="D888" s="0" t="n">
        <v>-2.93</v>
      </c>
      <c r="E888" s="0" t="n">
        <v>-992226.18</v>
      </c>
      <c r="F888" s="0" t="n">
        <v>38295.61</v>
      </c>
      <c r="G888" s="0" t="n">
        <v>-953930.57</v>
      </c>
      <c r="H888" s="0" t="n">
        <v>-2.9755</v>
      </c>
      <c r="I888" s="0" t="n">
        <v>953930.57</v>
      </c>
    </row>
    <row r="889" customFormat="false" ht="15" hidden="false" customHeight="false" outlineLevel="0" collapsed="false">
      <c r="A889" s="0" t="n">
        <v>888</v>
      </c>
      <c r="B889" s="0" t="n">
        <v>64.6</v>
      </c>
      <c r="C889" s="0" t="n">
        <v>5.73</v>
      </c>
      <c r="D889" s="0" t="n">
        <v>4.5</v>
      </c>
      <c r="E889" s="0" t="n">
        <v>-870469.02</v>
      </c>
      <c r="F889" s="0" t="n">
        <v>29473.67</v>
      </c>
      <c r="G889" s="0" t="n">
        <v>-840995.34</v>
      </c>
      <c r="H889" s="0" t="n">
        <v>-2.6232</v>
      </c>
      <c r="I889" s="0" t="n">
        <v>840995.34</v>
      </c>
    </row>
    <row r="890" customFormat="false" ht="15" hidden="false" customHeight="false" outlineLevel="0" collapsed="false">
      <c r="A890" s="0" t="n">
        <v>889</v>
      </c>
      <c r="B890" s="0" t="n">
        <v>62.19</v>
      </c>
      <c r="C890" s="0" t="n">
        <v>94.98</v>
      </c>
      <c r="D890" s="0" t="n">
        <v>-26.74</v>
      </c>
      <c r="E890" s="0" t="n">
        <v>-838050.79</v>
      </c>
      <c r="F890" s="0" t="n">
        <v>27319.22</v>
      </c>
      <c r="G890" s="0" t="n">
        <v>-810731.57</v>
      </c>
      <c r="H890" s="0" t="n">
        <v>-2.5288</v>
      </c>
      <c r="I890" s="0" t="n">
        <v>810731.57</v>
      </c>
    </row>
    <row r="891" customFormat="false" ht="15" hidden="false" customHeight="false" outlineLevel="0" collapsed="false">
      <c r="A891" s="0" t="n">
        <v>890</v>
      </c>
      <c r="B891" s="0" t="n">
        <v>83.33</v>
      </c>
      <c r="C891" s="0" t="n">
        <v>-43.12</v>
      </c>
      <c r="D891" s="0" t="n">
        <v>-79.9</v>
      </c>
      <c r="E891" s="0" t="n">
        <v>-1122835.6</v>
      </c>
      <c r="F891" s="0" t="n">
        <v>49041.07</v>
      </c>
      <c r="G891" s="0" t="n">
        <v>-1073794.52</v>
      </c>
      <c r="H891" s="0" t="n">
        <v>-3.3494</v>
      </c>
      <c r="I891" s="0" t="n">
        <v>1073794.52</v>
      </c>
    </row>
    <row r="892" customFormat="false" ht="15" hidden="false" customHeight="false" outlineLevel="0" collapsed="false">
      <c r="A892" s="0" t="n">
        <v>891</v>
      </c>
      <c r="B892" s="0" t="n">
        <v>18.59</v>
      </c>
      <c r="C892" s="0" t="n">
        <v>51.86</v>
      </c>
      <c r="D892" s="0" t="n">
        <v>29.34</v>
      </c>
      <c r="E892" s="0" t="n">
        <v>-250507.86</v>
      </c>
      <c r="F892" s="0" t="n">
        <v>2441.01</v>
      </c>
      <c r="G892" s="0" t="n">
        <v>-248066.85</v>
      </c>
      <c r="H892" s="0" t="n">
        <v>-0.7738</v>
      </c>
      <c r="I892" s="0" t="n">
        <v>248066.85</v>
      </c>
    </row>
    <row r="893" customFormat="false" ht="15" hidden="false" customHeight="false" outlineLevel="0" collapsed="false">
      <c r="A893" s="0" t="n">
        <v>892</v>
      </c>
      <c r="B893" s="0" t="n">
        <v>39.68</v>
      </c>
      <c r="C893" s="0" t="n">
        <v>22.88</v>
      </c>
      <c r="D893" s="0" t="n">
        <v>4.62</v>
      </c>
      <c r="E893" s="0" t="n">
        <v>-534751.94</v>
      </c>
      <c r="F893" s="0" t="n">
        <v>11123.27</v>
      </c>
      <c r="G893" s="0" t="n">
        <v>-523628.67</v>
      </c>
      <c r="H893" s="0" t="n">
        <v>-1.6333</v>
      </c>
      <c r="I893" s="0" t="n">
        <v>523628.67</v>
      </c>
    </row>
    <row r="894" customFormat="false" ht="15" hidden="false" customHeight="false" outlineLevel="0" collapsed="false">
      <c r="A894" s="0" t="n">
        <v>893</v>
      </c>
      <c r="B894" s="0" t="n">
        <v>-156.68</v>
      </c>
      <c r="C894" s="0" t="n">
        <v>90.48</v>
      </c>
      <c r="D894" s="0" t="n">
        <v>-5.4</v>
      </c>
      <c r="E894" s="0" t="n">
        <v>2111251.71</v>
      </c>
      <c r="F894" s="0" t="n">
        <v>173383.46</v>
      </c>
      <c r="G894" s="0" t="n">
        <v>2284635.17</v>
      </c>
      <c r="H894" s="0" t="n">
        <v>7.1263</v>
      </c>
      <c r="I894" s="0" t="n">
        <v>2284635.17</v>
      </c>
    </row>
    <row r="895" customFormat="false" ht="15" hidden="false" customHeight="false" outlineLevel="0" collapsed="false">
      <c r="A895" s="0" t="n">
        <v>894</v>
      </c>
      <c r="B895" s="0" t="n">
        <v>-73.14</v>
      </c>
      <c r="C895" s="0" t="n">
        <v>25.04</v>
      </c>
      <c r="D895" s="0" t="n">
        <v>-11.64</v>
      </c>
      <c r="E895" s="0" t="n">
        <v>985502.25</v>
      </c>
      <c r="F895" s="0" t="n">
        <v>37778.34</v>
      </c>
      <c r="G895" s="0" t="n">
        <v>1023280.58</v>
      </c>
      <c r="H895" s="0" t="n">
        <v>3.1918</v>
      </c>
      <c r="I895" s="0" t="n">
        <v>1023280.58</v>
      </c>
    </row>
    <row r="896" customFormat="false" ht="15" hidden="false" customHeight="false" outlineLevel="0" collapsed="false">
      <c r="A896" s="0" t="n">
        <v>895</v>
      </c>
      <c r="B896" s="0" t="n">
        <v>146.97</v>
      </c>
      <c r="C896" s="0" t="n">
        <v>0.25</v>
      </c>
      <c r="D896" s="0" t="n">
        <v>-10.7</v>
      </c>
      <c r="E896" s="0" t="n">
        <v>-1980466.66</v>
      </c>
      <c r="F896" s="0" t="n">
        <v>152567.74</v>
      </c>
      <c r="G896" s="0" t="n">
        <v>-1827898.92</v>
      </c>
      <c r="H896" s="0" t="n">
        <v>-5.7016</v>
      </c>
      <c r="I896" s="0" t="n">
        <v>1827898.92</v>
      </c>
    </row>
    <row r="897" customFormat="false" ht="15" hidden="false" customHeight="false" outlineLevel="0" collapsed="false">
      <c r="A897" s="0" t="n">
        <v>896</v>
      </c>
      <c r="B897" s="0" t="n">
        <v>73.8</v>
      </c>
      <c r="C897" s="0" t="n">
        <v>-12.86</v>
      </c>
      <c r="D897" s="0" t="n">
        <v>40.24</v>
      </c>
      <c r="E897" s="0" t="n">
        <v>-994466.12</v>
      </c>
      <c r="F897" s="0" t="n">
        <v>38468.71</v>
      </c>
      <c r="G897" s="0" t="n">
        <v>-955997.41</v>
      </c>
      <c r="H897" s="0" t="n">
        <v>-2.982</v>
      </c>
      <c r="I897" s="0" t="n">
        <v>955997.41</v>
      </c>
    </row>
    <row r="898" customFormat="false" ht="15" hidden="false" customHeight="false" outlineLevel="0" collapsed="false">
      <c r="A898" s="0" t="n">
        <v>897</v>
      </c>
      <c r="B898" s="0" t="n">
        <v>-69.18</v>
      </c>
      <c r="C898" s="0" t="n">
        <v>16.04</v>
      </c>
      <c r="D898" s="0" t="n">
        <v>-27.02</v>
      </c>
      <c r="E898" s="0" t="n">
        <v>932159.79</v>
      </c>
      <c r="F898" s="0" t="n">
        <v>33799.35</v>
      </c>
      <c r="G898" s="0" t="n">
        <v>965959.14</v>
      </c>
      <c r="H898" s="0" t="n">
        <v>3.013</v>
      </c>
      <c r="I898" s="0" t="n">
        <v>965959.14</v>
      </c>
    </row>
    <row r="899" customFormat="false" ht="15" hidden="false" customHeight="false" outlineLevel="0" collapsed="false">
      <c r="A899" s="0" t="n">
        <v>898</v>
      </c>
      <c r="B899" s="0" t="n">
        <v>4.94</v>
      </c>
      <c r="C899" s="0" t="n">
        <v>56.83</v>
      </c>
      <c r="D899" s="0" t="n">
        <v>28.76</v>
      </c>
      <c r="E899" s="0" t="n">
        <v>-66518.71</v>
      </c>
      <c r="F899" s="0" t="n">
        <v>172.11</v>
      </c>
      <c r="G899" s="0" t="n">
        <v>-66346.6</v>
      </c>
      <c r="H899" s="0" t="n">
        <v>-0.2069</v>
      </c>
      <c r="I899" s="0" t="n">
        <v>66346.6</v>
      </c>
    </row>
    <row r="900" customFormat="false" ht="15" hidden="false" customHeight="false" outlineLevel="0" collapsed="false">
      <c r="A900" s="0" t="n">
        <v>899</v>
      </c>
      <c r="B900" s="0" t="n">
        <v>-70.15</v>
      </c>
      <c r="C900" s="0" t="n">
        <v>-78.28</v>
      </c>
      <c r="D900" s="0" t="n">
        <v>19.38</v>
      </c>
      <c r="E900" s="0" t="n">
        <v>945227.4</v>
      </c>
      <c r="F900" s="0" t="n">
        <v>34753.63</v>
      </c>
      <c r="G900" s="0" t="n">
        <v>979981.03</v>
      </c>
      <c r="H900" s="0" t="n">
        <v>3.0568</v>
      </c>
      <c r="I900" s="0" t="n">
        <v>979981.03</v>
      </c>
    </row>
    <row r="901" customFormat="false" ht="15" hidden="false" customHeight="false" outlineLevel="0" collapsed="false">
      <c r="A901" s="0" t="n">
        <v>900</v>
      </c>
      <c r="B901" s="0" t="n">
        <v>69.06</v>
      </c>
      <c r="C901" s="0" t="n">
        <v>30.36</v>
      </c>
      <c r="D901" s="0" t="n">
        <v>-45.97</v>
      </c>
      <c r="E901" s="0" t="n">
        <v>-930633.37</v>
      </c>
      <c r="F901" s="0" t="n">
        <v>33688.75</v>
      </c>
      <c r="G901" s="0" t="n">
        <v>-896944.63</v>
      </c>
      <c r="H901" s="0" t="n">
        <v>-2.7978</v>
      </c>
      <c r="I901" s="0" t="n">
        <v>896944.63</v>
      </c>
    </row>
    <row r="902" customFormat="false" ht="15" hidden="false" customHeight="false" outlineLevel="0" collapsed="false">
      <c r="A902" s="0" t="n">
        <v>901</v>
      </c>
      <c r="B902" s="0" t="n">
        <v>-115.53</v>
      </c>
      <c r="C902" s="0" t="n">
        <v>-36.11</v>
      </c>
      <c r="D902" s="0" t="n">
        <v>1.78</v>
      </c>
      <c r="E902" s="0" t="n">
        <v>1556801.27</v>
      </c>
      <c r="F902" s="0" t="n">
        <v>94274.44</v>
      </c>
      <c r="G902" s="0" t="n">
        <v>1651075.71</v>
      </c>
      <c r="H902" s="0" t="n">
        <v>5.1501</v>
      </c>
      <c r="I902" s="0" t="n">
        <v>1651075.71</v>
      </c>
    </row>
    <row r="903" customFormat="false" ht="15" hidden="false" customHeight="false" outlineLevel="0" collapsed="false">
      <c r="A903" s="0" t="n">
        <v>902</v>
      </c>
      <c r="B903" s="0" t="n">
        <v>80.14</v>
      </c>
      <c r="C903" s="0" t="n">
        <v>-18.43</v>
      </c>
      <c r="D903" s="0" t="n">
        <v>-6.48</v>
      </c>
      <c r="E903" s="0" t="n">
        <v>-1079906.31</v>
      </c>
      <c r="F903" s="0" t="n">
        <v>45362.79</v>
      </c>
      <c r="G903" s="0" t="n">
        <v>-1034543.52</v>
      </c>
      <c r="H903" s="0" t="n">
        <v>-3.227</v>
      </c>
      <c r="I903" s="0" t="n">
        <v>1034543.52</v>
      </c>
    </row>
    <row r="904" customFormat="false" ht="15" hidden="false" customHeight="false" outlineLevel="0" collapsed="false">
      <c r="A904" s="0" t="n">
        <v>903</v>
      </c>
      <c r="B904" s="0" t="n">
        <v>110.61</v>
      </c>
      <c r="C904" s="0" t="n">
        <v>43.66</v>
      </c>
      <c r="D904" s="0" t="n">
        <v>-6.97</v>
      </c>
      <c r="E904" s="0" t="n">
        <v>-1490481.53</v>
      </c>
      <c r="F904" s="0" t="n">
        <v>86413.35</v>
      </c>
      <c r="G904" s="0" t="n">
        <v>-1404068.18</v>
      </c>
      <c r="H904" s="0" t="n">
        <v>-4.3796</v>
      </c>
      <c r="I904" s="0" t="n">
        <v>1404068.18</v>
      </c>
    </row>
    <row r="905" customFormat="false" ht="15" hidden="false" customHeight="false" outlineLevel="0" collapsed="false">
      <c r="A905" s="0" t="n">
        <v>904</v>
      </c>
      <c r="B905" s="0" t="n">
        <v>-17.29</v>
      </c>
      <c r="C905" s="0" t="n">
        <v>101.74</v>
      </c>
      <c r="D905" s="0" t="n">
        <v>-12.31</v>
      </c>
      <c r="E905" s="0" t="n">
        <v>232917.88</v>
      </c>
      <c r="F905" s="0" t="n">
        <v>2110.25</v>
      </c>
      <c r="G905" s="0" t="n">
        <v>235028.13</v>
      </c>
      <c r="H905" s="0" t="n">
        <v>0.7331</v>
      </c>
      <c r="I905" s="0" t="n">
        <v>235028.13</v>
      </c>
    </row>
    <row r="906" customFormat="false" ht="15" hidden="false" customHeight="false" outlineLevel="0" collapsed="false">
      <c r="A906" s="0" t="n">
        <v>905</v>
      </c>
      <c r="B906" s="0" t="n">
        <v>26.91</v>
      </c>
      <c r="C906" s="0" t="n">
        <v>-29.84</v>
      </c>
      <c r="D906" s="0" t="n">
        <v>-12.89</v>
      </c>
      <c r="E906" s="0" t="n">
        <v>-362603.1</v>
      </c>
      <c r="F906" s="0" t="n">
        <v>5114.35</v>
      </c>
      <c r="G906" s="0" t="n">
        <v>-357488.75</v>
      </c>
      <c r="H906" s="0" t="n">
        <v>-1.1151</v>
      </c>
      <c r="I906" s="0" t="n">
        <v>357488.75</v>
      </c>
    </row>
    <row r="907" customFormat="false" ht="15" hidden="false" customHeight="false" outlineLevel="0" collapsed="false">
      <c r="A907" s="0" t="n">
        <v>906</v>
      </c>
      <c r="B907" s="0" t="n">
        <v>15.23</v>
      </c>
      <c r="C907" s="0" t="n">
        <v>64.87</v>
      </c>
      <c r="D907" s="0" t="n">
        <v>-14.9</v>
      </c>
      <c r="E907" s="0" t="n">
        <v>-205222.73</v>
      </c>
      <c r="F907" s="0" t="n">
        <v>1638.24</v>
      </c>
      <c r="G907" s="0" t="n">
        <v>-203584.48</v>
      </c>
      <c r="H907" s="0" t="n">
        <v>-0.635</v>
      </c>
      <c r="I907" s="0" t="n">
        <v>203584.48</v>
      </c>
    </row>
    <row r="908" customFormat="false" ht="15" hidden="false" customHeight="false" outlineLevel="0" collapsed="false">
      <c r="A908" s="0" t="n">
        <v>907</v>
      </c>
      <c r="B908" s="0" t="n">
        <v>-36.04</v>
      </c>
      <c r="C908" s="0" t="n">
        <v>53.75</v>
      </c>
      <c r="D908" s="0" t="n">
        <v>2.56</v>
      </c>
      <c r="E908" s="0" t="n">
        <v>485602.34</v>
      </c>
      <c r="F908" s="0" t="n">
        <v>9172.53</v>
      </c>
      <c r="G908" s="0" t="n">
        <v>494774.87</v>
      </c>
      <c r="H908" s="0" t="n">
        <v>1.5433</v>
      </c>
      <c r="I908" s="0" t="n">
        <v>494774.87</v>
      </c>
    </row>
    <row r="909" customFormat="false" ht="15" hidden="false" customHeight="false" outlineLevel="0" collapsed="false">
      <c r="A909" s="0" t="n">
        <v>908</v>
      </c>
      <c r="B909" s="0" t="n">
        <v>-123.21</v>
      </c>
      <c r="C909" s="0" t="n">
        <v>14.88</v>
      </c>
      <c r="D909" s="0" t="n">
        <v>12.9</v>
      </c>
      <c r="E909" s="0" t="n">
        <v>1660202.2</v>
      </c>
      <c r="F909" s="0" t="n">
        <v>107213.53</v>
      </c>
      <c r="G909" s="0" t="n">
        <v>1767415.73</v>
      </c>
      <c r="H909" s="0" t="n">
        <v>5.513</v>
      </c>
      <c r="I909" s="0" t="n">
        <v>1767415.73</v>
      </c>
    </row>
    <row r="910" customFormat="false" ht="15" hidden="false" customHeight="false" outlineLevel="0" collapsed="false">
      <c r="A910" s="0" t="n">
        <v>909</v>
      </c>
      <c r="B910" s="0" t="n">
        <v>-137.33</v>
      </c>
      <c r="C910" s="0" t="n">
        <v>38.76</v>
      </c>
      <c r="D910" s="0" t="n">
        <v>39.34</v>
      </c>
      <c r="E910" s="0" t="n">
        <v>1850503.77</v>
      </c>
      <c r="F910" s="0" t="n">
        <v>133201.03</v>
      </c>
      <c r="G910" s="0" t="n">
        <v>1983704.8</v>
      </c>
      <c r="H910" s="0" t="n">
        <v>6.1876</v>
      </c>
      <c r="I910" s="0" t="n">
        <v>1983704.8</v>
      </c>
    </row>
    <row r="911" customFormat="false" ht="15" hidden="false" customHeight="false" outlineLevel="0" collapsed="false">
      <c r="A911" s="0" t="n">
        <v>910</v>
      </c>
      <c r="B911" s="0" t="n">
        <v>-106.29</v>
      </c>
      <c r="C911" s="0" t="n">
        <v>36.39</v>
      </c>
      <c r="D911" s="0" t="n">
        <v>-31.66</v>
      </c>
      <c r="E911" s="0" t="n">
        <v>1432203.99</v>
      </c>
      <c r="F911" s="0" t="n">
        <v>79787.96</v>
      </c>
      <c r="G911" s="0" t="n">
        <v>1511991.95</v>
      </c>
      <c r="H911" s="0" t="n">
        <v>4.7162</v>
      </c>
      <c r="I911" s="0" t="n">
        <v>1511991.95</v>
      </c>
    </row>
    <row r="912" customFormat="false" ht="15" hidden="false" customHeight="false" outlineLevel="0" collapsed="false">
      <c r="A912" s="0" t="n">
        <v>911</v>
      </c>
      <c r="B912" s="0" t="n">
        <v>-54.82</v>
      </c>
      <c r="C912" s="0" t="n">
        <v>39.08</v>
      </c>
      <c r="D912" s="0" t="n">
        <v>-10.27</v>
      </c>
      <c r="E912" s="0" t="n">
        <v>738656.01</v>
      </c>
      <c r="F912" s="0" t="n">
        <v>21223.26</v>
      </c>
      <c r="G912" s="0" t="n">
        <v>759879.27</v>
      </c>
      <c r="H912" s="0" t="n">
        <v>2.3702</v>
      </c>
      <c r="I912" s="0" t="n">
        <v>759879.27</v>
      </c>
    </row>
    <row r="913" customFormat="false" ht="15" hidden="false" customHeight="false" outlineLevel="0" collapsed="false">
      <c r="A913" s="0" t="n">
        <v>912</v>
      </c>
      <c r="B913" s="0" t="n">
        <v>-36.41</v>
      </c>
      <c r="C913" s="0" t="n">
        <v>-52.86</v>
      </c>
      <c r="D913" s="0" t="n">
        <v>13.46</v>
      </c>
      <c r="E913" s="0" t="n">
        <v>490583.82</v>
      </c>
      <c r="F913" s="0" t="n">
        <v>9361.69</v>
      </c>
      <c r="G913" s="0" t="n">
        <v>499945.5</v>
      </c>
      <c r="H913" s="0" t="n">
        <v>1.5594</v>
      </c>
      <c r="I913" s="0" t="n">
        <v>499945.5</v>
      </c>
    </row>
    <row r="914" customFormat="false" ht="15" hidden="false" customHeight="false" outlineLevel="0" collapsed="false">
      <c r="A914" s="0" t="n">
        <v>913</v>
      </c>
      <c r="B914" s="0" t="n">
        <v>-244.07</v>
      </c>
      <c r="C914" s="0" t="n">
        <v>-18.36</v>
      </c>
      <c r="D914" s="0" t="n">
        <v>4.61</v>
      </c>
      <c r="E914" s="0" t="n">
        <v>3288805.4</v>
      </c>
      <c r="F914" s="0" t="n">
        <v>420730.49</v>
      </c>
      <c r="G914" s="0" t="n">
        <v>3709535.89</v>
      </c>
      <c r="H914" s="0" t="n">
        <v>11.5708</v>
      </c>
      <c r="I914" s="0" t="n">
        <v>3709535.89</v>
      </c>
    </row>
    <row r="915" customFormat="false" ht="15" hidden="false" customHeight="false" outlineLevel="0" collapsed="false">
      <c r="A915" s="0" t="n">
        <v>914</v>
      </c>
      <c r="B915" s="0" t="n">
        <v>-58.46</v>
      </c>
      <c r="C915" s="0" t="n">
        <v>-19.78</v>
      </c>
      <c r="D915" s="0" t="n">
        <v>77.63</v>
      </c>
      <c r="E915" s="0" t="n">
        <v>787688.59</v>
      </c>
      <c r="F915" s="0" t="n">
        <v>24134.41</v>
      </c>
      <c r="G915" s="0" t="n">
        <v>811823</v>
      </c>
      <c r="H915" s="0" t="n">
        <v>2.5323</v>
      </c>
      <c r="I915" s="0" t="n">
        <v>811823</v>
      </c>
    </row>
    <row r="916" customFormat="false" ht="15" hidden="false" customHeight="false" outlineLevel="0" collapsed="false">
      <c r="A916" s="0" t="n">
        <v>915</v>
      </c>
      <c r="B916" s="0" t="n">
        <v>-61.59</v>
      </c>
      <c r="C916" s="0" t="n">
        <v>121.03</v>
      </c>
      <c r="D916" s="0" t="n">
        <v>74.62</v>
      </c>
      <c r="E916" s="0" t="n">
        <v>829939.55</v>
      </c>
      <c r="F916" s="0" t="n">
        <v>26792.95</v>
      </c>
      <c r="G916" s="0" t="n">
        <v>856732.5</v>
      </c>
      <c r="H916" s="0" t="n">
        <v>2.6723</v>
      </c>
      <c r="I916" s="0" t="n">
        <v>856732.5</v>
      </c>
    </row>
    <row r="917" customFormat="false" ht="15" hidden="false" customHeight="false" outlineLevel="0" collapsed="false">
      <c r="A917" s="0" t="n">
        <v>916</v>
      </c>
      <c r="B917" s="0" t="n">
        <v>99.92</v>
      </c>
      <c r="C917" s="0" t="n">
        <v>33.69</v>
      </c>
      <c r="D917" s="0" t="n">
        <v>51.23</v>
      </c>
      <c r="E917" s="0" t="n">
        <v>-1346392.97</v>
      </c>
      <c r="F917" s="0" t="n">
        <v>70513.34</v>
      </c>
      <c r="G917" s="0" t="n">
        <v>-1275879.63</v>
      </c>
      <c r="H917" s="0" t="n">
        <v>-3.9797</v>
      </c>
      <c r="I917" s="0" t="n">
        <v>1275879.63</v>
      </c>
    </row>
    <row r="918" customFormat="false" ht="15" hidden="false" customHeight="false" outlineLevel="0" collapsed="false">
      <c r="A918" s="0" t="n">
        <v>917</v>
      </c>
      <c r="B918" s="0" t="n">
        <v>-123.25</v>
      </c>
      <c r="C918" s="0" t="n">
        <v>1.93</v>
      </c>
      <c r="D918" s="0" t="n">
        <v>-11.8</v>
      </c>
      <c r="E918" s="0" t="n">
        <v>1660812</v>
      </c>
      <c r="F918" s="0" t="n">
        <v>107292.31</v>
      </c>
      <c r="G918" s="0" t="n">
        <v>1768104.31</v>
      </c>
      <c r="H918" s="0" t="n">
        <v>5.5151</v>
      </c>
      <c r="I918" s="0" t="n">
        <v>1768104.31</v>
      </c>
    </row>
    <row r="919" customFormat="false" ht="15" hidden="false" customHeight="false" outlineLevel="0" collapsed="false">
      <c r="A919" s="0" t="n">
        <v>918</v>
      </c>
      <c r="B919" s="0" t="n">
        <v>-3.34</v>
      </c>
      <c r="C919" s="0" t="n">
        <v>-55.15</v>
      </c>
      <c r="D919" s="0" t="n">
        <v>13.65</v>
      </c>
      <c r="E919" s="0" t="n">
        <v>45033.62</v>
      </c>
      <c r="F919" s="0" t="n">
        <v>78.89</v>
      </c>
      <c r="G919" s="0" t="n">
        <v>45112.51</v>
      </c>
      <c r="H919" s="0" t="n">
        <v>0.1407</v>
      </c>
      <c r="I919" s="0" t="n">
        <v>45112.51</v>
      </c>
    </row>
    <row r="920" customFormat="false" ht="15" hidden="false" customHeight="false" outlineLevel="0" collapsed="false">
      <c r="A920" s="0" t="n">
        <v>919</v>
      </c>
      <c r="B920" s="0" t="n">
        <v>-91.9</v>
      </c>
      <c r="C920" s="0" t="n">
        <v>-19.03</v>
      </c>
      <c r="D920" s="0" t="n">
        <v>-15.97</v>
      </c>
      <c r="E920" s="0" t="n">
        <v>1238314.51</v>
      </c>
      <c r="F920" s="0" t="n">
        <v>59647.13</v>
      </c>
      <c r="G920" s="0" t="n">
        <v>1297961.64</v>
      </c>
      <c r="H920" s="0" t="n">
        <v>4.0486</v>
      </c>
      <c r="I920" s="0" t="n">
        <v>1297961.64</v>
      </c>
    </row>
    <row r="921" customFormat="false" ht="15" hidden="false" customHeight="false" outlineLevel="0" collapsed="false">
      <c r="A921" s="0" t="n">
        <v>920</v>
      </c>
      <c r="B921" s="0" t="n">
        <v>-42.48</v>
      </c>
      <c r="C921" s="0" t="n">
        <v>65.11</v>
      </c>
      <c r="D921" s="0" t="n">
        <v>0.88</v>
      </c>
      <c r="E921" s="0" t="n">
        <v>572428.91</v>
      </c>
      <c r="F921" s="0" t="n">
        <v>12745.91</v>
      </c>
      <c r="G921" s="0" t="n">
        <v>585174.81</v>
      </c>
      <c r="H921" s="0" t="n">
        <v>1.8253</v>
      </c>
      <c r="I921" s="0" t="n">
        <v>585174.81</v>
      </c>
    </row>
    <row r="922" customFormat="false" ht="15" hidden="false" customHeight="false" outlineLevel="0" collapsed="false">
      <c r="A922" s="0" t="n">
        <v>921</v>
      </c>
      <c r="B922" s="0" t="n">
        <v>-11.17</v>
      </c>
      <c r="C922" s="0" t="n">
        <v>-3.65</v>
      </c>
      <c r="D922" s="0" t="n">
        <v>32.42</v>
      </c>
      <c r="E922" s="0" t="n">
        <v>150506.77</v>
      </c>
      <c r="F922" s="0" t="n">
        <v>881.13</v>
      </c>
      <c r="G922" s="0" t="n">
        <v>151387.9</v>
      </c>
      <c r="H922" s="0" t="n">
        <v>0.4722</v>
      </c>
      <c r="I922" s="0" t="n">
        <v>151387.9</v>
      </c>
    </row>
    <row r="923" customFormat="false" ht="15" hidden="false" customHeight="false" outlineLevel="0" collapsed="false">
      <c r="A923" s="0" t="n">
        <v>922</v>
      </c>
      <c r="B923" s="0" t="n">
        <v>-51.99</v>
      </c>
      <c r="C923" s="0" t="n">
        <v>-79.82</v>
      </c>
      <c r="D923" s="0" t="n">
        <v>-1.15</v>
      </c>
      <c r="E923" s="0" t="n">
        <v>700624.44</v>
      </c>
      <c r="F923" s="0" t="n">
        <v>19094.06</v>
      </c>
      <c r="G923" s="0" t="n">
        <v>719718.49</v>
      </c>
      <c r="H923" s="0" t="n">
        <v>2.245</v>
      </c>
      <c r="I923" s="0" t="n">
        <v>719718.49</v>
      </c>
    </row>
    <row r="924" customFormat="false" ht="15" hidden="false" customHeight="false" outlineLevel="0" collapsed="false">
      <c r="A924" s="0" t="n">
        <v>923</v>
      </c>
      <c r="B924" s="0" t="n">
        <v>-10.85</v>
      </c>
      <c r="C924" s="0" t="n">
        <v>97.67</v>
      </c>
      <c r="D924" s="0" t="n">
        <v>-6.81</v>
      </c>
      <c r="E924" s="0" t="n">
        <v>146261.71</v>
      </c>
      <c r="F924" s="0" t="n">
        <v>832.13</v>
      </c>
      <c r="G924" s="0" t="n">
        <v>147093.84</v>
      </c>
      <c r="H924" s="0" t="n">
        <v>0.4588</v>
      </c>
      <c r="I924" s="0" t="n">
        <v>147093.84</v>
      </c>
    </row>
    <row r="925" customFormat="false" ht="15" hidden="false" customHeight="false" outlineLevel="0" collapsed="false">
      <c r="A925" s="0" t="n">
        <v>924</v>
      </c>
      <c r="B925" s="0" t="n">
        <v>75.75</v>
      </c>
      <c r="C925" s="0" t="n">
        <v>26.09</v>
      </c>
      <c r="D925" s="0" t="n">
        <v>14.54</v>
      </c>
      <c r="E925" s="0" t="n">
        <v>-1020697.24</v>
      </c>
      <c r="F925" s="0" t="n">
        <v>40524.86</v>
      </c>
      <c r="G925" s="0" t="n">
        <v>-980172.38</v>
      </c>
      <c r="H925" s="0" t="n">
        <v>-3.0574</v>
      </c>
      <c r="I925" s="0" t="n">
        <v>980172.38</v>
      </c>
    </row>
    <row r="926" customFormat="false" ht="15" hidden="false" customHeight="false" outlineLevel="0" collapsed="false">
      <c r="A926" s="0" t="n">
        <v>925</v>
      </c>
      <c r="B926" s="0" t="n">
        <v>-81.24</v>
      </c>
      <c r="C926" s="0" t="n">
        <v>-8.7</v>
      </c>
      <c r="D926" s="0" t="n">
        <v>-45.77</v>
      </c>
      <c r="E926" s="0" t="n">
        <v>1094656.22</v>
      </c>
      <c r="F926" s="0" t="n">
        <v>46610.43</v>
      </c>
      <c r="G926" s="0" t="n">
        <v>1141266.65</v>
      </c>
      <c r="H926" s="0" t="n">
        <v>3.5599</v>
      </c>
      <c r="I926" s="0" t="n">
        <v>1141266.65</v>
      </c>
    </row>
    <row r="927" customFormat="false" ht="15" hidden="false" customHeight="false" outlineLevel="0" collapsed="false">
      <c r="A927" s="0" t="n">
        <v>926</v>
      </c>
      <c r="B927" s="0" t="n">
        <v>-183.53</v>
      </c>
      <c r="C927" s="0" t="n">
        <v>-4.63</v>
      </c>
      <c r="D927" s="0" t="n">
        <v>15.78</v>
      </c>
      <c r="E927" s="0" t="n">
        <v>2473034.9</v>
      </c>
      <c r="F927" s="0" t="n">
        <v>237896.54</v>
      </c>
      <c r="G927" s="0" t="n">
        <v>2710931.44</v>
      </c>
      <c r="H927" s="0" t="n">
        <v>8.456</v>
      </c>
      <c r="I927" s="0" t="n">
        <v>2710931.44</v>
      </c>
    </row>
    <row r="928" customFormat="false" ht="15" hidden="false" customHeight="false" outlineLevel="0" collapsed="false">
      <c r="A928" s="0" t="n">
        <v>927</v>
      </c>
      <c r="B928" s="0" t="n">
        <v>22.76</v>
      </c>
      <c r="C928" s="0" t="n">
        <v>-11.62</v>
      </c>
      <c r="D928" s="0" t="n">
        <v>89.88</v>
      </c>
      <c r="E928" s="0" t="n">
        <v>-306743.27</v>
      </c>
      <c r="F928" s="0" t="n">
        <v>3659.97</v>
      </c>
      <c r="G928" s="0" t="n">
        <v>-303083.3</v>
      </c>
      <c r="H928" s="0" t="n">
        <v>-0.9454</v>
      </c>
      <c r="I928" s="0" t="n">
        <v>303083.3</v>
      </c>
    </row>
    <row r="929" customFormat="false" ht="15" hidden="false" customHeight="false" outlineLevel="0" collapsed="false">
      <c r="A929" s="0" t="n">
        <v>928</v>
      </c>
      <c r="B929" s="0" t="n">
        <v>-37.8</v>
      </c>
      <c r="C929" s="0" t="n">
        <v>6.18</v>
      </c>
      <c r="D929" s="0" t="n">
        <v>14.44</v>
      </c>
      <c r="E929" s="0" t="n">
        <v>509415.57</v>
      </c>
      <c r="F929" s="0" t="n">
        <v>10094.2</v>
      </c>
      <c r="G929" s="0" t="n">
        <v>519509.77</v>
      </c>
      <c r="H929" s="0" t="n">
        <v>1.6205</v>
      </c>
      <c r="I929" s="0" t="n">
        <v>519509.77</v>
      </c>
    </row>
    <row r="930" customFormat="false" ht="15" hidden="false" customHeight="false" outlineLevel="0" collapsed="false">
      <c r="A930" s="0" t="n">
        <v>929</v>
      </c>
      <c r="B930" s="0" t="n">
        <v>-84.16</v>
      </c>
      <c r="C930" s="0" t="n">
        <v>-56.89</v>
      </c>
      <c r="D930" s="0" t="n">
        <v>26.17</v>
      </c>
      <c r="E930" s="0" t="n">
        <v>1134057.9</v>
      </c>
      <c r="F930" s="0" t="n">
        <v>50026.27</v>
      </c>
      <c r="G930" s="0" t="n">
        <v>1184084.17</v>
      </c>
      <c r="H930" s="0" t="n">
        <v>3.6934</v>
      </c>
      <c r="I930" s="0" t="n">
        <v>1184084.17</v>
      </c>
    </row>
    <row r="931" customFormat="false" ht="15" hidden="false" customHeight="false" outlineLevel="0" collapsed="false">
      <c r="A931" s="0" t="n">
        <v>930</v>
      </c>
      <c r="B931" s="0" t="n">
        <v>-15.39</v>
      </c>
      <c r="C931" s="0" t="n">
        <v>97.96</v>
      </c>
      <c r="D931" s="0" t="n">
        <v>-20.57</v>
      </c>
      <c r="E931" s="0" t="n">
        <v>207314.38</v>
      </c>
      <c r="F931" s="0" t="n">
        <v>1671.81</v>
      </c>
      <c r="G931" s="0" t="n">
        <v>208986.19</v>
      </c>
      <c r="H931" s="0" t="n">
        <v>0.6519</v>
      </c>
      <c r="I931" s="0" t="n">
        <v>208986.19</v>
      </c>
    </row>
    <row r="932" customFormat="false" ht="15" hidden="false" customHeight="false" outlineLevel="0" collapsed="false">
      <c r="A932" s="0" t="n">
        <v>931</v>
      </c>
      <c r="B932" s="0" t="n">
        <v>-4.72</v>
      </c>
      <c r="C932" s="0" t="n">
        <v>26.67</v>
      </c>
      <c r="D932" s="0" t="n">
        <v>20.13</v>
      </c>
      <c r="E932" s="0" t="n">
        <v>63573.75</v>
      </c>
      <c r="F932" s="0" t="n">
        <v>157.21</v>
      </c>
      <c r="G932" s="0" t="n">
        <v>63730.96</v>
      </c>
      <c r="H932" s="0" t="n">
        <v>0.1988</v>
      </c>
      <c r="I932" s="0" t="n">
        <v>63730.96</v>
      </c>
    </row>
    <row r="933" customFormat="false" ht="15" hidden="false" customHeight="false" outlineLevel="0" collapsed="false">
      <c r="A933" s="0" t="n">
        <v>932</v>
      </c>
      <c r="B933" s="0" t="n">
        <v>-49.84</v>
      </c>
      <c r="C933" s="0" t="n">
        <v>69.82</v>
      </c>
      <c r="D933" s="0" t="n">
        <v>-3.89</v>
      </c>
      <c r="E933" s="0" t="n">
        <v>671600.17</v>
      </c>
      <c r="F933" s="0" t="n">
        <v>17544.83</v>
      </c>
      <c r="G933" s="0" t="n">
        <v>689145</v>
      </c>
      <c r="H933" s="0" t="n">
        <v>2.1496</v>
      </c>
      <c r="I933" s="0" t="n">
        <v>689145</v>
      </c>
    </row>
    <row r="934" customFormat="false" ht="15" hidden="false" customHeight="false" outlineLevel="0" collapsed="false">
      <c r="A934" s="0" t="n">
        <v>933</v>
      </c>
      <c r="B934" s="0" t="n">
        <v>93.53</v>
      </c>
      <c r="C934" s="0" t="n">
        <v>3.06</v>
      </c>
      <c r="D934" s="0" t="n">
        <v>-2.97</v>
      </c>
      <c r="E934" s="0" t="n">
        <v>-1260292.17</v>
      </c>
      <c r="F934" s="0" t="n">
        <v>61783.16</v>
      </c>
      <c r="G934" s="0" t="n">
        <v>-1198509.01</v>
      </c>
      <c r="H934" s="0" t="n">
        <v>-3.7384</v>
      </c>
      <c r="I934" s="0" t="n">
        <v>1198509.01</v>
      </c>
    </row>
    <row r="935" customFormat="false" ht="15" hidden="false" customHeight="false" outlineLevel="0" collapsed="false">
      <c r="A935" s="0" t="n">
        <v>934</v>
      </c>
      <c r="B935" s="0" t="n">
        <v>-80.39</v>
      </c>
      <c r="C935" s="0" t="n">
        <v>-0.33</v>
      </c>
      <c r="D935" s="0" t="n">
        <v>5.32</v>
      </c>
      <c r="E935" s="0" t="n">
        <v>1083308.75</v>
      </c>
      <c r="F935" s="0" t="n">
        <v>45649.09</v>
      </c>
      <c r="G935" s="0" t="n">
        <v>1128957.84</v>
      </c>
      <c r="H935" s="0" t="n">
        <v>3.5215</v>
      </c>
      <c r="I935" s="0" t="n">
        <v>1128957.84</v>
      </c>
    </row>
    <row r="936" customFormat="false" ht="15" hidden="false" customHeight="false" outlineLevel="0" collapsed="false">
      <c r="A936" s="0" t="n">
        <v>935</v>
      </c>
      <c r="B936" s="0" t="n">
        <v>-110.68</v>
      </c>
      <c r="C936" s="0" t="n">
        <v>-84.03</v>
      </c>
      <c r="D936" s="0" t="n">
        <v>36.81</v>
      </c>
      <c r="E936" s="0" t="n">
        <v>1491360.33</v>
      </c>
      <c r="F936" s="0" t="n">
        <v>86515.28</v>
      </c>
      <c r="G936" s="0" t="n">
        <v>1577875.61</v>
      </c>
      <c r="H936" s="0" t="n">
        <v>4.9217</v>
      </c>
      <c r="I936" s="0" t="n">
        <v>1577875.61</v>
      </c>
    </row>
    <row r="937" customFormat="false" ht="15" hidden="false" customHeight="false" outlineLevel="0" collapsed="false">
      <c r="A937" s="0" t="n">
        <v>936</v>
      </c>
      <c r="B937" s="0" t="n">
        <v>-49.47</v>
      </c>
      <c r="C937" s="0" t="n">
        <v>-13.07</v>
      </c>
      <c r="D937" s="0" t="n">
        <v>-45.12</v>
      </c>
      <c r="E937" s="0" t="n">
        <v>666545.41</v>
      </c>
      <c r="F937" s="0" t="n">
        <v>17281.73</v>
      </c>
      <c r="G937" s="0" t="n">
        <v>683827.14</v>
      </c>
      <c r="H937" s="0" t="n">
        <v>2.133</v>
      </c>
      <c r="I937" s="0" t="n">
        <v>683827.14</v>
      </c>
    </row>
    <row r="938" customFormat="false" ht="15" hidden="false" customHeight="false" outlineLevel="0" collapsed="false">
      <c r="A938" s="0" t="n">
        <v>937</v>
      </c>
      <c r="B938" s="0" t="n">
        <v>72.69</v>
      </c>
      <c r="C938" s="0" t="n">
        <v>-12.92</v>
      </c>
      <c r="D938" s="0" t="n">
        <v>-28.66</v>
      </c>
      <c r="E938" s="0" t="n">
        <v>-979441.89</v>
      </c>
      <c r="F938" s="0" t="n">
        <v>37315.13</v>
      </c>
      <c r="G938" s="0" t="n">
        <v>-942126.76</v>
      </c>
      <c r="H938" s="0" t="n">
        <v>-2.9387</v>
      </c>
      <c r="I938" s="0" t="n">
        <v>942126.76</v>
      </c>
    </row>
    <row r="939" customFormat="false" ht="15" hidden="false" customHeight="false" outlineLevel="0" collapsed="false">
      <c r="A939" s="0" t="n">
        <v>938</v>
      </c>
      <c r="B939" s="0" t="n">
        <v>-97.03</v>
      </c>
      <c r="C939" s="0" t="n">
        <v>14.69</v>
      </c>
      <c r="D939" s="0" t="n">
        <v>31.19</v>
      </c>
      <c r="E939" s="0" t="n">
        <v>1307509.56</v>
      </c>
      <c r="F939" s="0" t="n">
        <v>66499.35</v>
      </c>
      <c r="G939" s="0" t="n">
        <v>1374008.91</v>
      </c>
      <c r="H939" s="0" t="n">
        <v>4.2858</v>
      </c>
      <c r="I939" s="0" t="n">
        <v>1374008.91</v>
      </c>
    </row>
    <row r="940" customFormat="false" ht="15" hidden="false" customHeight="false" outlineLevel="0" collapsed="false">
      <c r="A940" s="0" t="n">
        <v>939</v>
      </c>
      <c r="B940" s="0" t="n">
        <v>-30.38</v>
      </c>
      <c r="C940" s="0" t="n">
        <v>30.16</v>
      </c>
      <c r="D940" s="0" t="n">
        <v>-40.65</v>
      </c>
      <c r="E940" s="0" t="n">
        <v>409391.2</v>
      </c>
      <c r="F940" s="0" t="n">
        <v>6519.36</v>
      </c>
      <c r="G940" s="0" t="n">
        <v>415910.56</v>
      </c>
      <c r="H940" s="0" t="n">
        <v>1.2973</v>
      </c>
      <c r="I940" s="0" t="n">
        <v>415910.56</v>
      </c>
    </row>
    <row r="941" customFormat="false" ht="15" hidden="false" customHeight="false" outlineLevel="0" collapsed="false">
      <c r="A941" s="0" t="n">
        <v>940</v>
      </c>
      <c r="B941" s="0" t="n">
        <v>-143.92</v>
      </c>
      <c r="C941" s="0" t="n">
        <v>-43.04</v>
      </c>
      <c r="D941" s="0" t="n">
        <v>19.91</v>
      </c>
      <c r="E941" s="0" t="n">
        <v>1939301.55</v>
      </c>
      <c r="F941" s="0" t="n">
        <v>146291.24</v>
      </c>
      <c r="G941" s="0" t="n">
        <v>2085592.79</v>
      </c>
      <c r="H941" s="0" t="n">
        <v>6.5054</v>
      </c>
      <c r="I941" s="0" t="n">
        <v>2085592.79</v>
      </c>
    </row>
    <row r="942" customFormat="false" ht="15" hidden="false" customHeight="false" outlineLevel="0" collapsed="false">
      <c r="A942" s="0" t="n">
        <v>941</v>
      </c>
      <c r="B942" s="0" t="n">
        <v>-13.5</v>
      </c>
      <c r="C942" s="0" t="n">
        <v>-52.91</v>
      </c>
      <c r="D942" s="0" t="n">
        <v>20.43</v>
      </c>
      <c r="E942" s="0" t="n">
        <v>181846.59</v>
      </c>
      <c r="F942" s="0" t="n">
        <v>1286.29</v>
      </c>
      <c r="G942" s="0" t="n">
        <v>183132.88</v>
      </c>
      <c r="H942" s="0" t="n">
        <v>0.5712</v>
      </c>
      <c r="I942" s="0" t="n">
        <v>183132.88</v>
      </c>
    </row>
    <row r="943" customFormat="false" ht="15" hidden="false" customHeight="false" outlineLevel="0" collapsed="false">
      <c r="A943" s="0" t="n">
        <v>942</v>
      </c>
      <c r="B943" s="0" t="n">
        <v>91.68</v>
      </c>
      <c r="C943" s="0" t="n">
        <v>-55.44</v>
      </c>
      <c r="D943" s="0" t="n">
        <v>0.84</v>
      </c>
      <c r="E943" s="0" t="n">
        <v>-1235352.95</v>
      </c>
      <c r="F943" s="0" t="n">
        <v>59362.17</v>
      </c>
      <c r="G943" s="0" t="n">
        <v>-1175990.78</v>
      </c>
      <c r="H943" s="0" t="n">
        <v>-3.6682</v>
      </c>
      <c r="I943" s="0" t="n">
        <v>1175990.78</v>
      </c>
    </row>
    <row r="944" customFormat="false" ht="15" hidden="false" customHeight="false" outlineLevel="0" collapsed="false">
      <c r="A944" s="0" t="n">
        <v>943</v>
      </c>
      <c r="B944" s="0" t="n">
        <v>24.93</v>
      </c>
      <c r="C944" s="0" t="n">
        <v>-28.52</v>
      </c>
      <c r="D944" s="0" t="n">
        <v>-65.11</v>
      </c>
      <c r="E944" s="0" t="n">
        <v>-335994.6</v>
      </c>
      <c r="F944" s="0" t="n">
        <v>4391.29</v>
      </c>
      <c r="G944" s="0" t="n">
        <v>-331603.31</v>
      </c>
      <c r="H944" s="0" t="n">
        <v>-1.0343</v>
      </c>
      <c r="I944" s="0" t="n">
        <v>331603.31</v>
      </c>
    </row>
    <row r="945" customFormat="false" ht="15" hidden="false" customHeight="false" outlineLevel="0" collapsed="false">
      <c r="A945" s="0" t="n">
        <v>944</v>
      </c>
      <c r="B945" s="0" t="n">
        <v>-101.56</v>
      </c>
      <c r="C945" s="0" t="n">
        <v>17.24</v>
      </c>
      <c r="D945" s="0" t="n">
        <v>22.12</v>
      </c>
      <c r="E945" s="0" t="n">
        <v>1368520.31</v>
      </c>
      <c r="F945" s="0" t="n">
        <v>72850.1</v>
      </c>
      <c r="G945" s="0" t="n">
        <v>1441370.41</v>
      </c>
      <c r="H945" s="0" t="n">
        <v>4.4959</v>
      </c>
      <c r="I945" s="0" t="n">
        <v>1441370.41</v>
      </c>
    </row>
    <row r="946" customFormat="false" ht="15" hidden="false" customHeight="false" outlineLevel="0" collapsed="false">
      <c r="A946" s="0" t="n">
        <v>945</v>
      </c>
      <c r="B946" s="0" t="n">
        <v>-76.8</v>
      </c>
      <c r="C946" s="0" t="n">
        <v>96.7</v>
      </c>
      <c r="D946" s="0" t="n">
        <v>18.83</v>
      </c>
      <c r="E946" s="0" t="n">
        <v>1034835.99</v>
      </c>
      <c r="F946" s="0" t="n">
        <v>41655.34</v>
      </c>
      <c r="G946" s="0" t="n">
        <v>1076491.33</v>
      </c>
      <c r="H946" s="0" t="n">
        <v>3.3578</v>
      </c>
      <c r="I946" s="0" t="n">
        <v>1076491.33</v>
      </c>
    </row>
    <row r="947" customFormat="false" ht="15" hidden="false" customHeight="false" outlineLevel="0" collapsed="false">
      <c r="A947" s="0" t="n">
        <v>946</v>
      </c>
      <c r="B947" s="0" t="n">
        <v>-138.98</v>
      </c>
      <c r="C947" s="0" t="n">
        <v>10.59</v>
      </c>
      <c r="D947" s="0" t="n">
        <v>15.44</v>
      </c>
      <c r="E947" s="0" t="n">
        <v>1872805.11</v>
      </c>
      <c r="F947" s="0" t="n">
        <v>136430.92</v>
      </c>
      <c r="G947" s="0" t="n">
        <v>2009236.03</v>
      </c>
      <c r="H947" s="0" t="n">
        <v>6.2672</v>
      </c>
      <c r="I947" s="0" t="n">
        <v>2009236.03</v>
      </c>
    </row>
    <row r="948" customFormat="false" ht="15" hidden="false" customHeight="false" outlineLevel="0" collapsed="false">
      <c r="A948" s="0" t="n">
        <v>947</v>
      </c>
      <c r="B948" s="0" t="n">
        <v>-98.61</v>
      </c>
      <c r="C948" s="0" t="n">
        <v>24.58</v>
      </c>
      <c r="D948" s="0" t="n">
        <v>-18.64</v>
      </c>
      <c r="E948" s="0" t="n">
        <v>1328744.21</v>
      </c>
      <c r="F948" s="0" t="n">
        <v>68676.86</v>
      </c>
      <c r="G948" s="0" t="n">
        <v>1397421.07</v>
      </c>
      <c r="H948" s="0" t="n">
        <v>4.3589</v>
      </c>
      <c r="I948" s="0" t="n">
        <v>1397421.07</v>
      </c>
    </row>
    <row r="949" customFormat="false" ht="15" hidden="false" customHeight="false" outlineLevel="0" collapsed="false">
      <c r="A949" s="0" t="n">
        <v>948</v>
      </c>
      <c r="B949" s="0" t="n">
        <v>-80.24</v>
      </c>
      <c r="C949" s="0" t="n">
        <v>-4.37</v>
      </c>
      <c r="D949" s="0" t="n">
        <v>-16.09</v>
      </c>
      <c r="E949" s="0" t="n">
        <v>1081217.58</v>
      </c>
      <c r="F949" s="0" t="n">
        <v>45473.02</v>
      </c>
      <c r="G949" s="0" t="n">
        <v>1126690.6</v>
      </c>
      <c r="H949" s="0" t="n">
        <v>3.5144</v>
      </c>
      <c r="I949" s="0" t="n">
        <v>1126690.6</v>
      </c>
    </row>
    <row r="950" customFormat="false" ht="15" hidden="false" customHeight="false" outlineLevel="0" collapsed="false">
      <c r="A950" s="0" t="n">
        <v>949</v>
      </c>
      <c r="B950" s="0" t="n">
        <v>0.04</v>
      </c>
      <c r="C950" s="0" t="n">
        <v>-7.7</v>
      </c>
      <c r="D950" s="0" t="n">
        <v>23.92</v>
      </c>
      <c r="E950" s="0" t="n">
        <v>-579.19</v>
      </c>
      <c r="F950" s="0" t="n">
        <v>0.01</v>
      </c>
      <c r="G950" s="0" t="n">
        <v>-579.17</v>
      </c>
      <c r="H950" s="0" t="n">
        <v>-0.0018</v>
      </c>
      <c r="I950" s="0" t="n">
        <v>579.17</v>
      </c>
    </row>
    <row r="951" customFormat="false" ht="15" hidden="false" customHeight="false" outlineLevel="0" collapsed="false">
      <c r="A951" s="0" t="n">
        <v>950</v>
      </c>
      <c r="B951" s="0" t="n">
        <v>57.72</v>
      </c>
      <c r="C951" s="0" t="n">
        <v>6.36</v>
      </c>
      <c r="D951" s="0" t="n">
        <v>3.16</v>
      </c>
      <c r="E951" s="0" t="n">
        <v>-777837.53</v>
      </c>
      <c r="F951" s="0" t="n">
        <v>23534.52</v>
      </c>
      <c r="G951" s="0" t="n">
        <v>-754303</v>
      </c>
      <c r="H951" s="0" t="n">
        <v>-2.3528</v>
      </c>
      <c r="I951" s="0" t="n">
        <v>754303</v>
      </c>
    </row>
    <row r="952" customFormat="false" ht="15" hidden="false" customHeight="false" outlineLevel="0" collapsed="false">
      <c r="A952" s="0" t="n">
        <v>951</v>
      </c>
      <c r="B952" s="0" t="n">
        <v>113.2</v>
      </c>
      <c r="C952" s="0" t="n">
        <v>-102.17</v>
      </c>
      <c r="D952" s="0" t="n">
        <v>34.7</v>
      </c>
      <c r="E952" s="0" t="n">
        <v>-1525388.21</v>
      </c>
      <c r="F952" s="0" t="n">
        <v>90508.3</v>
      </c>
      <c r="G952" s="0" t="n">
        <v>-1434879.91</v>
      </c>
      <c r="H952" s="0" t="n">
        <v>-4.4757</v>
      </c>
      <c r="I952" s="0" t="n">
        <v>1434879.91</v>
      </c>
    </row>
    <row r="953" customFormat="false" ht="15" hidden="false" customHeight="false" outlineLevel="0" collapsed="false">
      <c r="A953" s="0" t="n">
        <v>952</v>
      </c>
      <c r="B953" s="0" t="n">
        <v>126.6</v>
      </c>
      <c r="C953" s="0" t="n">
        <v>-13.08</v>
      </c>
      <c r="D953" s="0" t="n">
        <v>70.43</v>
      </c>
      <c r="E953" s="0" t="n">
        <v>-1705868.5</v>
      </c>
      <c r="F953" s="0" t="n">
        <v>113192.78</v>
      </c>
      <c r="G953" s="0" t="n">
        <v>-1592675.72</v>
      </c>
      <c r="H953" s="0" t="n">
        <v>-4.9679</v>
      </c>
      <c r="I953" s="0" t="n">
        <v>1592675.72</v>
      </c>
    </row>
    <row r="954" customFormat="false" ht="15" hidden="false" customHeight="false" outlineLevel="0" collapsed="false">
      <c r="A954" s="0" t="n">
        <v>953</v>
      </c>
      <c r="B954" s="0" t="n">
        <v>-143.69</v>
      </c>
      <c r="C954" s="0" t="n">
        <v>-51.95</v>
      </c>
      <c r="D954" s="0" t="n">
        <v>53.04</v>
      </c>
      <c r="E954" s="0" t="n">
        <v>1936261.37</v>
      </c>
      <c r="F954" s="0" t="n">
        <v>145832.93</v>
      </c>
      <c r="G954" s="0" t="n">
        <v>2082094.3</v>
      </c>
      <c r="H954" s="0" t="n">
        <v>6.4945</v>
      </c>
      <c r="I954" s="0" t="n">
        <v>2082094.3</v>
      </c>
    </row>
    <row r="955" customFormat="false" ht="15" hidden="false" customHeight="false" outlineLevel="0" collapsed="false">
      <c r="A955" s="0" t="n">
        <v>954</v>
      </c>
      <c r="B955" s="0" t="n">
        <v>10.45</v>
      </c>
      <c r="C955" s="0" t="n">
        <v>-89.08</v>
      </c>
      <c r="D955" s="0" t="n">
        <v>-14.58</v>
      </c>
      <c r="E955" s="0" t="n">
        <v>-140823.6</v>
      </c>
      <c r="F955" s="0" t="n">
        <v>771.4</v>
      </c>
      <c r="G955" s="0" t="n">
        <v>-140052.2</v>
      </c>
      <c r="H955" s="0" t="n">
        <v>-0.4369</v>
      </c>
      <c r="I955" s="0" t="n">
        <v>140052.2</v>
      </c>
    </row>
    <row r="956" customFormat="false" ht="15" hidden="false" customHeight="false" outlineLevel="0" collapsed="false">
      <c r="A956" s="0" t="n">
        <v>955</v>
      </c>
      <c r="B956" s="0" t="n">
        <v>25.35</v>
      </c>
      <c r="C956" s="0" t="n">
        <v>-16.83</v>
      </c>
      <c r="D956" s="0" t="n">
        <v>32.48</v>
      </c>
      <c r="E956" s="0" t="n">
        <v>-341575.61</v>
      </c>
      <c r="F956" s="0" t="n">
        <v>4538.38</v>
      </c>
      <c r="G956" s="0" t="n">
        <v>-337037.22</v>
      </c>
      <c r="H956" s="0" t="n">
        <v>-1.0513</v>
      </c>
      <c r="I956" s="0" t="n">
        <v>337037.22</v>
      </c>
    </row>
    <row r="957" customFormat="false" ht="15" hidden="false" customHeight="false" outlineLevel="0" collapsed="false">
      <c r="A957" s="0" t="n">
        <v>956</v>
      </c>
      <c r="B957" s="0" t="n">
        <v>129.59</v>
      </c>
      <c r="C957" s="0" t="n">
        <v>71.7</v>
      </c>
      <c r="D957" s="0" t="n">
        <v>-34.51</v>
      </c>
      <c r="E957" s="0" t="n">
        <v>-1746215.02</v>
      </c>
      <c r="F957" s="0" t="n">
        <v>118610.48</v>
      </c>
      <c r="G957" s="0" t="n">
        <v>-1627604.54</v>
      </c>
      <c r="H957" s="0" t="n">
        <v>-5.0768</v>
      </c>
      <c r="I957" s="0" t="n">
        <v>1627604.54</v>
      </c>
    </row>
    <row r="958" customFormat="false" ht="15" hidden="false" customHeight="false" outlineLevel="0" collapsed="false">
      <c r="A958" s="0" t="n">
        <v>957</v>
      </c>
      <c r="B958" s="0" t="n">
        <v>-40.28</v>
      </c>
      <c r="C958" s="0" t="n">
        <v>53.42</v>
      </c>
      <c r="D958" s="0" t="n">
        <v>1.46</v>
      </c>
      <c r="E958" s="0" t="n">
        <v>542795.97</v>
      </c>
      <c r="F958" s="0" t="n">
        <v>11460.43</v>
      </c>
      <c r="G958" s="0" t="n">
        <v>554256.4</v>
      </c>
      <c r="H958" s="0" t="n">
        <v>1.7288</v>
      </c>
      <c r="I958" s="0" t="n">
        <v>554256.4</v>
      </c>
    </row>
    <row r="959" customFormat="false" ht="15" hidden="false" customHeight="false" outlineLevel="0" collapsed="false">
      <c r="A959" s="0" t="n">
        <v>958</v>
      </c>
      <c r="B959" s="0" t="n">
        <v>125.14</v>
      </c>
      <c r="C959" s="0" t="n">
        <v>-6.86</v>
      </c>
      <c r="D959" s="0" t="n">
        <v>37.35</v>
      </c>
      <c r="E959" s="0" t="n">
        <v>-1686297.07</v>
      </c>
      <c r="F959" s="0" t="n">
        <v>110610.36</v>
      </c>
      <c r="G959" s="0" t="n">
        <v>-1575686.72</v>
      </c>
      <c r="H959" s="0" t="n">
        <v>-4.9149</v>
      </c>
      <c r="I959" s="0" t="n">
        <v>1575686.72</v>
      </c>
    </row>
    <row r="960" customFormat="false" ht="15" hidden="false" customHeight="false" outlineLevel="0" collapsed="false">
      <c r="A960" s="0" t="n">
        <v>959</v>
      </c>
      <c r="B960" s="0" t="n">
        <v>29.91</v>
      </c>
      <c r="C960" s="0" t="n">
        <v>2</v>
      </c>
      <c r="D960" s="0" t="n">
        <v>-13.41</v>
      </c>
      <c r="E960" s="0" t="n">
        <v>-403095.48</v>
      </c>
      <c r="F960" s="0" t="n">
        <v>6320.38</v>
      </c>
      <c r="G960" s="0" t="n">
        <v>-396775.1</v>
      </c>
      <c r="H960" s="0" t="n">
        <v>-1.2376</v>
      </c>
      <c r="I960" s="0" t="n">
        <v>396775.1</v>
      </c>
    </row>
    <row r="961" customFormat="false" ht="15" hidden="false" customHeight="false" outlineLevel="0" collapsed="false">
      <c r="A961" s="0" t="n">
        <v>960</v>
      </c>
      <c r="B961" s="0" t="n">
        <v>-12.88</v>
      </c>
      <c r="C961" s="0" t="n">
        <v>39.17</v>
      </c>
      <c r="D961" s="0" t="n">
        <v>-20.34</v>
      </c>
      <c r="E961" s="0" t="n">
        <v>173541.17</v>
      </c>
      <c r="F961" s="0" t="n">
        <v>1171.47</v>
      </c>
      <c r="G961" s="0" t="n">
        <v>174712.65</v>
      </c>
      <c r="H961" s="0" t="n">
        <v>0.545</v>
      </c>
      <c r="I961" s="0" t="n">
        <v>174712.65</v>
      </c>
    </row>
    <row r="962" customFormat="false" ht="15" hidden="false" customHeight="false" outlineLevel="0" collapsed="false">
      <c r="A962" s="0" t="n">
        <v>961</v>
      </c>
      <c r="B962" s="0" t="n">
        <v>71.27</v>
      </c>
      <c r="C962" s="0" t="n">
        <v>0.27</v>
      </c>
      <c r="D962" s="0" t="n">
        <v>4.32</v>
      </c>
      <c r="E962" s="0" t="n">
        <v>-960399.37</v>
      </c>
      <c r="F962" s="0" t="n">
        <v>35878.26</v>
      </c>
      <c r="G962" s="0" t="n">
        <v>-924521.11</v>
      </c>
      <c r="H962" s="0" t="n">
        <v>-2.8838</v>
      </c>
      <c r="I962" s="0" t="n">
        <v>924521.11</v>
      </c>
    </row>
    <row r="963" customFormat="false" ht="15" hidden="false" customHeight="false" outlineLevel="0" collapsed="false">
      <c r="A963" s="0" t="n">
        <v>962</v>
      </c>
      <c r="B963" s="0" t="n">
        <v>97.61</v>
      </c>
      <c r="C963" s="0" t="n">
        <v>-24.85</v>
      </c>
      <c r="D963" s="0" t="n">
        <v>19.65</v>
      </c>
      <c r="E963" s="0" t="n">
        <v>-1315277.89</v>
      </c>
      <c r="F963" s="0" t="n">
        <v>67291.88</v>
      </c>
      <c r="G963" s="0" t="n">
        <v>-1247986.01</v>
      </c>
      <c r="H963" s="0" t="n">
        <v>-3.8927</v>
      </c>
      <c r="I963" s="0" t="n">
        <v>1247986.01</v>
      </c>
    </row>
    <row r="964" customFormat="false" ht="15" hidden="false" customHeight="false" outlineLevel="0" collapsed="false">
      <c r="A964" s="0" t="n">
        <v>963</v>
      </c>
      <c r="B964" s="0" t="n">
        <v>133.86</v>
      </c>
      <c r="C964" s="0" t="n">
        <v>-35.87</v>
      </c>
      <c r="D964" s="0" t="n">
        <v>-18.39</v>
      </c>
      <c r="E964" s="0" t="n">
        <v>-1803770.39</v>
      </c>
      <c r="F964" s="0" t="n">
        <v>126558.16</v>
      </c>
      <c r="G964" s="0" t="n">
        <v>-1677212.23</v>
      </c>
      <c r="H964" s="0" t="n">
        <v>-5.2316</v>
      </c>
      <c r="I964" s="0" t="n">
        <v>1677212.23</v>
      </c>
    </row>
    <row r="965" customFormat="false" ht="15" hidden="false" customHeight="false" outlineLevel="0" collapsed="false">
      <c r="A965" s="0" t="n">
        <v>964</v>
      </c>
      <c r="B965" s="0" t="n">
        <v>-146.07</v>
      </c>
      <c r="C965" s="0" t="n">
        <v>47.41</v>
      </c>
      <c r="D965" s="0" t="n">
        <v>-20.23</v>
      </c>
      <c r="E965" s="0" t="n">
        <v>1968342.96</v>
      </c>
      <c r="F965" s="0" t="n">
        <v>150705.53</v>
      </c>
      <c r="G965" s="0" t="n">
        <v>2119048.49</v>
      </c>
      <c r="H965" s="0" t="n">
        <v>6.6098</v>
      </c>
      <c r="I965" s="0" t="n">
        <v>2119048.49</v>
      </c>
    </row>
    <row r="966" customFormat="false" ht="15" hidden="false" customHeight="false" outlineLevel="0" collapsed="false">
      <c r="A966" s="0" t="n">
        <v>965</v>
      </c>
      <c r="B966" s="0" t="n">
        <v>71.19</v>
      </c>
      <c r="C966" s="0" t="n">
        <v>-2.07</v>
      </c>
      <c r="D966" s="0" t="n">
        <v>23.5</v>
      </c>
      <c r="E966" s="0" t="n">
        <v>-959322.03</v>
      </c>
      <c r="F966" s="0" t="n">
        <v>35797.81</v>
      </c>
      <c r="G966" s="0" t="n">
        <v>-923524.22</v>
      </c>
      <c r="H966" s="0" t="n">
        <v>-2.8807</v>
      </c>
      <c r="I966" s="0" t="n">
        <v>923524.22</v>
      </c>
    </row>
    <row r="967" customFormat="false" ht="15" hidden="false" customHeight="false" outlineLevel="0" collapsed="false">
      <c r="A967" s="0" t="n">
        <v>966</v>
      </c>
      <c r="B967" s="0" t="n">
        <v>-21.98</v>
      </c>
      <c r="C967" s="0" t="n">
        <v>39.98</v>
      </c>
      <c r="D967" s="0" t="n">
        <v>12.47</v>
      </c>
      <c r="E967" s="0" t="n">
        <v>296175.27</v>
      </c>
      <c r="F967" s="0" t="n">
        <v>3412.13</v>
      </c>
      <c r="G967" s="0" t="n">
        <v>299587.4</v>
      </c>
      <c r="H967" s="0" t="n">
        <v>0.9345</v>
      </c>
      <c r="I967" s="0" t="n">
        <v>299587.4</v>
      </c>
    </row>
    <row r="968" customFormat="false" ht="15" hidden="false" customHeight="false" outlineLevel="0" collapsed="false">
      <c r="A968" s="0" t="n">
        <v>967</v>
      </c>
      <c r="B968" s="0" t="n">
        <v>-145.51</v>
      </c>
      <c r="C968" s="0" t="n">
        <v>87.4</v>
      </c>
      <c r="D968" s="0" t="n">
        <v>7.69</v>
      </c>
      <c r="E968" s="0" t="n">
        <v>1960801.02</v>
      </c>
      <c r="F968" s="0" t="n">
        <v>149552.85</v>
      </c>
      <c r="G968" s="0" t="n">
        <v>2110353.87</v>
      </c>
      <c r="H968" s="0" t="n">
        <v>6.5826</v>
      </c>
      <c r="I968" s="0" t="n">
        <v>2110353.87</v>
      </c>
    </row>
    <row r="969" customFormat="false" ht="15" hidden="false" customHeight="false" outlineLevel="0" collapsed="false">
      <c r="A969" s="0" t="n">
        <v>968</v>
      </c>
      <c r="B969" s="0" t="n">
        <v>15.12</v>
      </c>
      <c r="C969" s="0" t="n">
        <v>30.8</v>
      </c>
      <c r="D969" s="0" t="n">
        <v>25.81</v>
      </c>
      <c r="E969" s="0" t="n">
        <v>-203781.04</v>
      </c>
      <c r="F969" s="0" t="n">
        <v>1615.31</v>
      </c>
      <c r="G969" s="0" t="n">
        <v>-202165.74</v>
      </c>
      <c r="H969" s="0" t="n">
        <v>-0.6306</v>
      </c>
      <c r="I969" s="0" t="n">
        <v>202165.74</v>
      </c>
    </row>
    <row r="970" customFormat="false" ht="15" hidden="false" customHeight="false" outlineLevel="0" collapsed="false">
      <c r="A970" s="0" t="n">
        <v>969</v>
      </c>
      <c r="B970" s="0" t="n">
        <v>-32.15</v>
      </c>
      <c r="C970" s="0" t="n">
        <v>27.24</v>
      </c>
      <c r="D970" s="0" t="n">
        <v>-56.57</v>
      </c>
      <c r="E970" s="0" t="n">
        <v>433229.45</v>
      </c>
      <c r="F970" s="0" t="n">
        <v>7300.68</v>
      </c>
      <c r="G970" s="0" t="n">
        <v>440530.13</v>
      </c>
      <c r="H970" s="0" t="n">
        <v>1.3741</v>
      </c>
      <c r="I970" s="0" t="n">
        <v>440530.13</v>
      </c>
    </row>
    <row r="971" customFormat="false" ht="15" hidden="false" customHeight="false" outlineLevel="0" collapsed="false">
      <c r="A971" s="0" t="n">
        <v>970</v>
      </c>
      <c r="B971" s="0" t="n">
        <v>95.72</v>
      </c>
      <c r="C971" s="0" t="n">
        <v>-26.93</v>
      </c>
      <c r="D971" s="0" t="n">
        <v>-38.77</v>
      </c>
      <c r="E971" s="0" t="n">
        <v>-1289779.73</v>
      </c>
      <c r="F971" s="0" t="n">
        <v>64708.11</v>
      </c>
      <c r="G971" s="0" t="n">
        <v>-1225071.62</v>
      </c>
      <c r="H971" s="0" t="n">
        <v>-3.8213</v>
      </c>
      <c r="I971" s="0" t="n">
        <v>1225071.62</v>
      </c>
    </row>
    <row r="972" customFormat="false" ht="15" hidden="false" customHeight="false" outlineLevel="0" collapsed="false">
      <c r="A972" s="0" t="n">
        <v>971</v>
      </c>
      <c r="B972" s="0" t="n">
        <v>-47.03</v>
      </c>
      <c r="C972" s="0" t="n">
        <v>99.3</v>
      </c>
      <c r="D972" s="0" t="n">
        <v>-4.66</v>
      </c>
      <c r="E972" s="0" t="n">
        <v>633692.72</v>
      </c>
      <c r="F972" s="0" t="n">
        <v>15620.15</v>
      </c>
      <c r="G972" s="0" t="n">
        <v>649312.87</v>
      </c>
      <c r="H972" s="0" t="n">
        <v>2.0253</v>
      </c>
      <c r="I972" s="0" t="n">
        <v>649312.87</v>
      </c>
    </row>
    <row r="973" customFormat="false" ht="15" hidden="false" customHeight="false" outlineLevel="0" collapsed="false">
      <c r="A973" s="0" t="n">
        <v>972</v>
      </c>
      <c r="B973" s="0" t="n">
        <v>116.58</v>
      </c>
      <c r="C973" s="0" t="n">
        <v>-26.72</v>
      </c>
      <c r="D973" s="0" t="n">
        <v>17.27</v>
      </c>
      <c r="E973" s="0" t="n">
        <v>-1570942.54</v>
      </c>
      <c r="F973" s="0" t="n">
        <v>95994.92</v>
      </c>
      <c r="G973" s="0" t="n">
        <v>-1474947.62</v>
      </c>
      <c r="H973" s="0" t="n">
        <v>-4.6007</v>
      </c>
      <c r="I973" s="0" t="n">
        <v>1474947.62</v>
      </c>
    </row>
    <row r="974" customFormat="false" ht="15" hidden="false" customHeight="false" outlineLevel="0" collapsed="false">
      <c r="A974" s="0" t="n">
        <v>973</v>
      </c>
      <c r="B974" s="0" t="n">
        <v>149.33</v>
      </c>
      <c r="C974" s="0" t="n">
        <v>-49.39</v>
      </c>
      <c r="D974" s="0" t="n">
        <v>14.42</v>
      </c>
      <c r="E974" s="0" t="n">
        <v>-2012203.39</v>
      </c>
      <c r="F974" s="0" t="n">
        <v>157496.67</v>
      </c>
      <c r="G974" s="0" t="n">
        <v>-1854706.72</v>
      </c>
      <c r="H974" s="0" t="n">
        <v>-5.7852</v>
      </c>
      <c r="I974" s="0" t="n">
        <v>1854706.72</v>
      </c>
    </row>
    <row r="975" customFormat="false" ht="15" hidden="false" customHeight="false" outlineLevel="0" collapsed="false">
      <c r="A975" s="0" t="n">
        <v>974</v>
      </c>
      <c r="B975" s="0" t="n">
        <v>-193.02</v>
      </c>
      <c r="C975" s="0" t="n">
        <v>85.9</v>
      </c>
      <c r="D975" s="0" t="n">
        <v>-7.15</v>
      </c>
      <c r="E975" s="0" t="n">
        <v>2600934.54</v>
      </c>
      <c r="F975" s="0" t="n">
        <v>263139.76</v>
      </c>
      <c r="G975" s="0" t="n">
        <v>2864074.3</v>
      </c>
      <c r="H975" s="0" t="n">
        <v>8.9337</v>
      </c>
      <c r="I975" s="0" t="n">
        <v>2864074.3</v>
      </c>
    </row>
    <row r="976" customFormat="false" ht="15" hidden="false" customHeight="false" outlineLevel="0" collapsed="false">
      <c r="A976" s="0" t="n">
        <v>975</v>
      </c>
      <c r="B976" s="0" t="n">
        <v>34.21</v>
      </c>
      <c r="C976" s="0" t="n">
        <v>22.51</v>
      </c>
      <c r="D976" s="0" t="n">
        <v>-50.59</v>
      </c>
      <c r="E976" s="0" t="n">
        <v>-461028.42</v>
      </c>
      <c r="F976" s="0" t="n">
        <v>8267.67</v>
      </c>
      <c r="G976" s="0" t="n">
        <v>-452760.75</v>
      </c>
      <c r="H976" s="0" t="n">
        <v>-1.4123</v>
      </c>
      <c r="I976" s="0" t="n">
        <v>452760.75</v>
      </c>
    </row>
    <row r="977" customFormat="false" ht="15" hidden="false" customHeight="false" outlineLevel="0" collapsed="false">
      <c r="A977" s="0" t="n">
        <v>976</v>
      </c>
      <c r="B977" s="0" t="n">
        <v>58.69</v>
      </c>
      <c r="C977" s="0" t="n">
        <v>90.79</v>
      </c>
      <c r="D977" s="0" t="n">
        <v>-8.16</v>
      </c>
      <c r="E977" s="0" t="n">
        <v>-790780.75</v>
      </c>
      <c r="F977" s="0" t="n">
        <v>24324.27</v>
      </c>
      <c r="G977" s="0" t="n">
        <v>-766456.48</v>
      </c>
      <c r="H977" s="0" t="n">
        <v>-2.3907</v>
      </c>
      <c r="I977" s="0" t="n">
        <v>766456.48</v>
      </c>
    </row>
    <row r="978" customFormat="false" ht="15" hidden="false" customHeight="false" outlineLevel="0" collapsed="false">
      <c r="A978" s="0" t="n">
        <v>977</v>
      </c>
      <c r="B978" s="0" t="n">
        <v>80.02</v>
      </c>
      <c r="C978" s="0" t="n">
        <v>34.46</v>
      </c>
      <c r="D978" s="0" t="n">
        <v>-2.45</v>
      </c>
      <c r="E978" s="0" t="n">
        <v>-1078248.77</v>
      </c>
      <c r="F978" s="0" t="n">
        <v>45223.65</v>
      </c>
      <c r="G978" s="0" t="n">
        <v>-1033025.12</v>
      </c>
      <c r="H978" s="0" t="n">
        <v>-3.2222</v>
      </c>
      <c r="I978" s="0" t="n">
        <v>1033025.12</v>
      </c>
    </row>
    <row r="979" customFormat="false" ht="15" hidden="false" customHeight="false" outlineLevel="0" collapsed="false">
      <c r="A979" s="0" t="n">
        <v>978</v>
      </c>
      <c r="B979" s="0" t="n">
        <v>-55.31</v>
      </c>
      <c r="C979" s="0" t="n">
        <v>-11.57</v>
      </c>
      <c r="D979" s="0" t="n">
        <v>14.05</v>
      </c>
      <c r="E979" s="0" t="n">
        <v>745257.45</v>
      </c>
      <c r="F979" s="0" t="n">
        <v>21604.3</v>
      </c>
      <c r="G979" s="0" t="n">
        <v>766861.75</v>
      </c>
      <c r="H979" s="0" t="n">
        <v>2.392</v>
      </c>
      <c r="I979" s="0" t="n">
        <v>766861.75</v>
      </c>
    </row>
    <row r="980" customFormat="false" ht="15" hidden="false" customHeight="false" outlineLevel="0" collapsed="false">
      <c r="A980" s="0" t="n">
        <v>979</v>
      </c>
      <c r="B980" s="0" t="n">
        <v>10.25</v>
      </c>
      <c r="C980" s="0" t="n">
        <v>-46.34</v>
      </c>
      <c r="D980" s="0" t="n">
        <v>-34.35</v>
      </c>
      <c r="E980" s="0" t="n">
        <v>-138167.66</v>
      </c>
      <c r="F980" s="0" t="n">
        <v>742.58</v>
      </c>
      <c r="G980" s="0" t="n">
        <v>-137425.09</v>
      </c>
      <c r="H980" s="0" t="n">
        <v>-0.4287</v>
      </c>
      <c r="I980" s="0" t="n">
        <v>137425.09</v>
      </c>
    </row>
    <row r="981" customFormat="false" ht="15" hidden="false" customHeight="false" outlineLevel="0" collapsed="false">
      <c r="A981" s="0" t="n">
        <v>980</v>
      </c>
      <c r="B981" s="0" t="n">
        <v>4.17</v>
      </c>
      <c r="C981" s="0" t="n">
        <v>66.86</v>
      </c>
      <c r="D981" s="0" t="n">
        <v>-6.91</v>
      </c>
      <c r="E981" s="0" t="n">
        <v>-56189.62</v>
      </c>
      <c r="F981" s="0" t="n">
        <v>122.81</v>
      </c>
      <c r="G981" s="0" t="n">
        <v>-56066.8</v>
      </c>
      <c r="H981" s="0" t="n">
        <v>-0.1749</v>
      </c>
      <c r="I981" s="0" t="n">
        <v>56066.8</v>
      </c>
    </row>
    <row r="982" customFormat="false" ht="15" hidden="false" customHeight="false" outlineLevel="0" collapsed="false">
      <c r="A982" s="0" t="n">
        <v>981</v>
      </c>
      <c r="B982" s="0" t="n">
        <v>-35.66</v>
      </c>
      <c r="C982" s="0" t="n">
        <v>-20.64</v>
      </c>
      <c r="D982" s="0" t="n">
        <v>63.55</v>
      </c>
      <c r="E982" s="0" t="n">
        <v>480475.4</v>
      </c>
      <c r="F982" s="0" t="n">
        <v>8979.87</v>
      </c>
      <c r="G982" s="0" t="n">
        <v>489455.27</v>
      </c>
      <c r="H982" s="0" t="n">
        <v>1.5267</v>
      </c>
      <c r="I982" s="0" t="n">
        <v>489455.27</v>
      </c>
    </row>
    <row r="983" customFormat="false" ht="15" hidden="false" customHeight="false" outlineLevel="0" collapsed="false">
      <c r="A983" s="0" t="n">
        <v>982</v>
      </c>
      <c r="B983" s="0" t="n">
        <v>-77.73</v>
      </c>
      <c r="C983" s="0" t="n">
        <v>-46.87</v>
      </c>
      <c r="D983" s="0" t="n">
        <v>25.37</v>
      </c>
      <c r="E983" s="0" t="n">
        <v>1047407.24</v>
      </c>
      <c r="F983" s="0" t="n">
        <v>42673.55</v>
      </c>
      <c r="G983" s="0" t="n">
        <v>1090080.79</v>
      </c>
      <c r="H983" s="0" t="n">
        <v>3.4002</v>
      </c>
      <c r="I983" s="0" t="n">
        <v>1090080.79</v>
      </c>
    </row>
    <row r="984" customFormat="false" ht="15" hidden="false" customHeight="false" outlineLevel="0" collapsed="false">
      <c r="A984" s="0" t="n">
        <v>983</v>
      </c>
      <c r="B984" s="0" t="n">
        <v>-113.05</v>
      </c>
      <c r="C984" s="0" t="n">
        <v>-14.04</v>
      </c>
      <c r="D984" s="0" t="n">
        <v>-21.14</v>
      </c>
      <c r="E984" s="0" t="n">
        <v>1523366.77</v>
      </c>
      <c r="F984" s="0" t="n">
        <v>90268.58</v>
      </c>
      <c r="G984" s="0" t="n">
        <v>1613635.35</v>
      </c>
      <c r="H984" s="0" t="n">
        <v>5.0333</v>
      </c>
      <c r="I984" s="0" t="n">
        <v>1613635.35</v>
      </c>
    </row>
    <row r="985" customFormat="false" ht="15" hidden="false" customHeight="false" outlineLevel="0" collapsed="false">
      <c r="A985" s="0" t="n">
        <v>984</v>
      </c>
      <c r="B985" s="0" t="n">
        <v>-16.31</v>
      </c>
      <c r="C985" s="0" t="n">
        <v>68.53</v>
      </c>
      <c r="D985" s="0" t="n">
        <v>23.84</v>
      </c>
      <c r="E985" s="0" t="n">
        <v>219823.95</v>
      </c>
      <c r="F985" s="0" t="n">
        <v>1879.65</v>
      </c>
      <c r="G985" s="0" t="n">
        <v>221703.6</v>
      </c>
      <c r="H985" s="0" t="n">
        <v>0.6915</v>
      </c>
      <c r="I985" s="0" t="n">
        <v>221703.6</v>
      </c>
    </row>
    <row r="986" customFormat="false" ht="15" hidden="false" customHeight="false" outlineLevel="0" collapsed="false">
      <c r="A986" s="0" t="n">
        <v>985</v>
      </c>
      <c r="B986" s="0" t="n">
        <v>-170.66</v>
      </c>
      <c r="C986" s="0" t="n">
        <v>-14.59</v>
      </c>
      <c r="D986" s="0" t="n">
        <v>7.93</v>
      </c>
      <c r="E986" s="0" t="n">
        <v>2299608.54</v>
      </c>
      <c r="F986" s="0" t="n">
        <v>205700.55</v>
      </c>
      <c r="G986" s="0" t="n">
        <v>2505309.09</v>
      </c>
      <c r="H986" s="0" t="n">
        <v>7.8146</v>
      </c>
      <c r="I986" s="0" t="n">
        <v>2505309.09</v>
      </c>
    </row>
    <row r="987" customFormat="false" ht="15" hidden="false" customHeight="false" outlineLevel="0" collapsed="false">
      <c r="A987" s="0" t="n">
        <v>986</v>
      </c>
      <c r="B987" s="0" t="n">
        <v>-65.22</v>
      </c>
      <c r="C987" s="0" t="n">
        <v>40.44</v>
      </c>
      <c r="D987" s="0" t="n">
        <v>14.82</v>
      </c>
      <c r="E987" s="0" t="n">
        <v>878801.49</v>
      </c>
      <c r="F987" s="0" t="n">
        <v>30040.64</v>
      </c>
      <c r="G987" s="0" t="n">
        <v>908842.13</v>
      </c>
      <c r="H987" s="0" t="n">
        <v>2.8349</v>
      </c>
      <c r="I987" s="0" t="n">
        <v>908842.13</v>
      </c>
    </row>
    <row r="988" customFormat="false" ht="15" hidden="false" customHeight="false" outlineLevel="0" collapsed="false">
      <c r="A988" s="0" t="n">
        <v>987</v>
      </c>
      <c r="B988" s="0" t="n">
        <v>56.42</v>
      </c>
      <c r="C988" s="0" t="n">
        <v>93.33</v>
      </c>
      <c r="D988" s="0" t="n">
        <v>-22.07</v>
      </c>
      <c r="E988" s="0" t="n">
        <v>-760282.28</v>
      </c>
      <c r="F988" s="0" t="n">
        <v>22484.2</v>
      </c>
      <c r="G988" s="0" t="n">
        <v>-737798.09</v>
      </c>
      <c r="H988" s="0" t="n">
        <v>-2.3014</v>
      </c>
      <c r="I988" s="0" t="n">
        <v>737798.09</v>
      </c>
    </row>
    <row r="989" customFormat="false" ht="15" hidden="false" customHeight="false" outlineLevel="0" collapsed="false">
      <c r="A989" s="0" t="n">
        <v>988</v>
      </c>
      <c r="B989" s="0" t="n">
        <v>86.23</v>
      </c>
      <c r="C989" s="0" t="n">
        <v>16.13</v>
      </c>
      <c r="D989" s="0" t="n">
        <v>10.79</v>
      </c>
      <c r="E989" s="0" t="n">
        <v>-1161979.11</v>
      </c>
      <c r="F989" s="0" t="n">
        <v>52519.95</v>
      </c>
      <c r="G989" s="0" t="n">
        <v>-1109459.17</v>
      </c>
      <c r="H989" s="0" t="n">
        <v>-3.4606</v>
      </c>
      <c r="I989" s="0" t="n">
        <v>1109459.17</v>
      </c>
    </row>
    <row r="990" customFormat="false" ht="15" hidden="false" customHeight="false" outlineLevel="0" collapsed="false">
      <c r="A990" s="0" t="n">
        <v>989</v>
      </c>
      <c r="B990" s="0" t="n">
        <v>80.32</v>
      </c>
      <c r="C990" s="0" t="n">
        <v>-25.01</v>
      </c>
      <c r="D990" s="0" t="n">
        <v>30.45</v>
      </c>
      <c r="E990" s="0" t="n">
        <v>-1082304.08</v>
      </c>
      <c r="F990" s="0" t="n">
        <v>45564.46</v>
      </c>
      <c r="G990" s="0" t="n">
        <v>-1036739.62</v>
      </c>
      <c r="H990" s="0" t="n">
        <v>-3.2338</v>
      </c>
      <c r="I990" s="0" t="n">
        <v>1036739.62</v>
      </c>
    </row>
    <row r="991" customFormat="false" ht="15" hidden="false" customHeight="false" outlineLevel="0" collapsed="false">
      <c r="A991" s="0" t="n">
        <v>990</v>
      </c>
      <c r="B991" s="0" t="n">
        <v>-140.93</v>
      </c>
      <c r="C991" s="0" t="n">
        <v>35.58</v>
      </c>
      <c r="D991" s="0" t="n">
        <v>25.59</v>
      </c>
      <c r="E991" s="0" t="n">
        <v>1898997.85</v>
      </c>
      <c r="F991" s="0" t="n">
        <v>140273.8</v>
      </c>
      <c r="G991" s="0" t="n">
        <v>2039271.65</v>
      </c>
      <c r="H991" s="0" t="n">
        <v>6.3609</v>
      </c>
      <c r="I991" s="0" t="n">
        <v>2039271.65</v>
      </c>
    </row>
    <row r="992" customFormat="false" ht="15" hidden="false" customHeight="false" outlineLevel="0" collapsed="false">
      <c r="A992" s="0" t="n">
        <v>991</v>
      </c>
      <c r="B992" s="0" t="n">
        <v>64.64</v>
      </c>
      <c r="C992" s="0" t="n">
        <v>-54.45</v>
      </c>
      <c r="D992" s="0" t="n">
        <v>28.49</v>
      </c>
      <c r="E992" s="0" t="n">
        <v>-870971.11</v>
      </c>
      <c r="F992" s="0" t="n">
        <v>29507.68</v>
      </c>
      <c r="G992" s="0" t="n">
        <v>-841463.42</v>
      </c>
      <c r="H992" s="0" t="n">
        <v>-2.6247</v>
      </c>
      <c r="I992" s="0" t="n">
        <v>841463.42</v>
      </c>
    </row>
    <row r="993" customFormat="false" ht="15" hidden="false" customHeight="false" outlineLevel="0" collapsed="false">
      <c r="A993" s="0" t="n">
        <v>992</v>
      </c>
      <c r="B993" s="0" t="n">
        <v>-43.72</v>
      </c>
      <c r="C993" s="0" t="n">
        <v>8.71</v>
      </c>
      <c r="D993" s="0" t="n">
        <v>20.75</v>
      </c>
      <c r="E993" s="0" t="n">
        <v>589100.4</v>
      </c>
      <c r="F993" s="0" t="n">
        <v>13499.15</v>
      </c>
      <c r="G993" s="0" t="n">
        <v>602599.54</v>
      </c>
      <c r="H993" s="0" t="n">
        <v>1.8796</v>
      </c>
      <c r="I993" s="0" t="n">
        <v>602599.54</v>
      </c>
    </row>
    <row r="994" customFormat="false" ht="15" hidden="false" customHeight="false" outlineLevel="0" collapsed="false">
      <c r="A994" s="0" t="n">
        <v>993</v>
      </c>
      <c r="B994" s="0" t="n">
        <v>-0.94</v>
      </c>
      <c r="C994" s="0" t="n">
        <v>-24.97</v>
      </c>
      <c r="D994" s="0" t="n">
        <v>-5.57</v>
      </c>
      <c r="E994" s="0" t="n">
        <v>12703.32</v>
      </c>
      <c r="F994" s="0" t="n">
        <v>6.28</v>
      </c>
      <c r="G994" s="0" t="n">
        <v>12709.6</v>
      </c>
      <c r="H994" s="0" t="n">
        <v>0.0396</v>
      </c>
      <c r="I994" s="0" t="n">
        <v>12709.6</v>
      </c>
    </row>
    <row r="995" customFormat="false" ht="15" hidden="false" customHeight="false" outlineLevel="0" collapsed="false">
      <c r="A995" s="0" t="n">
        <v>994</v>
      </c>
      <c r="B995" s="0" t="n">
        <v>-52.38</v>
      </c>
      <c r="C995" s="0" t="n">
        <v>-8.19</v>
      </c>
      <c r="D995" s="0" t="n">
        <v>-46.04</v>
      </c>
      <c r="E995" s="0" t="n">
        <v>705783.27</v>
      </c>
      <c r="F995" s="0" t="n">
        <v>19376.28</v>
      </c>
      <c r="G995" s="0" t="n">
        <v>725159.55</v>
      </c>
      <c r="H995" s="0" t="n">
        <v>2.2619</v>
      </c>
      <c r="I995" s="0" t="n">
        <v>725159.55</v>
      </c>
    </row>
    <row r="996" customFormat="false" ht="15" hidden="false" customHeight="false" outlineLevel="0" collapsed="false">
      <c r="A996" s="0" t="n">
        <v>995</v>
      </c>
      <c r="B996" s="0" t="n">
        <v>-29.68</v>
      </c>
      <c r="C996" s="0" t="n">
        <v>7.6</v>
      </c>
      <c r="D996" s="0" t="n">
        <v>31.14</v>
      </c>
      <c r="E996" s="0" t="n">
        <v>399998.31</v>
      </c>
      <c r="F996" s="0" t="n">
        <v>6223.63</v>
      </c>
      <c r="G996" s="0" t="n">
        <v>406221.94</v>
      </c>
      <c r="H996" s="0" t="n">
        <v>1.2671</v>
      </c>
      <c r="I996" s="0" t="n">
        <v>406221.94</v>
      </c>
    </row>
    <row r="997" customFormat="false" ht="15" hidden="false" customHeight="false" outlineLevel="0" collapsed="false">
      <c r="A997" s="0" t="n">
        <v>996</v>
      </c>
      <c r="B997" s="0" t="n">
        <v>81.57</v>
      </c>
      <c r="C997" s="0" t="n">
        <v>-66.42</v>
      </c>
      <c r="D997" s="0" t="n">
        <v>5.84</v>
      </c>
      <c r="E997" s="0" t="n">
        <v>-1099154.91</v>
      </c>
      <c r="F997" s="0" t="n">
        <v>46994.33</v>
      </c>
      <c r="G997" s="0" t="n">
        <v>-1052160.58</v>
      </c>
      <c r="H997" s="0" t="n">
        <v>-3.2819</v>
      </c>
      <c r="I997" s="0" t="n">
        <v>1052160.58</v>
      </c>
    </row>
    <row r="998" customFormat="false" ht="15" hidden="false" customHeight="false" outlineLevel="0" collapsed="false">
      <c r="A998" s="0" t="n">
        <v>997</v>
      </c>
      <c r="B998" s="0" t="n">
        <v>30.75</v>
      </c>
      <c r="C998" s="0" t="n">
        <v>23.62</v>
      </c>
      <c r="D998" s="0" t="n">
        <v>14.2</v>
      </c>
      <c r="E998" s="0" t="n">
        <v>-414318.84</v>
      </c>
      <c r="F998" s="0" t="n">
        <v>6677.24</v>
      </c>
      <c r="G998" s="0" t="n">
        <v>-407641.6</v>
      </c>
      <c r="H998" s="0" t="n">
        <v>-1.2715</v>
      </c>
      <c r="I998" s="0" t="n">
        <v>407641.6</v>
      </c>
    </row>
    <row r="999" customFormat="false" ht="15" hidden="false" customHeight="false" outlineLevel="0" collapsed="false">
      <c r="A999" s="0" t="n">
        <v>998</v>
      </c>
      <c r="B999" s="0" t="n">
        <v>58.15</v>
      </c>
      <c r="C999" s="0" t="n">
        <v>94</v>
      </c>
      <c r="D999" s="0" t="n">
        <v>4.43</v>
      </c>
      <c r="E999" s="0" t="n">
        <v>-783631.84</v>
      </c>
      <c r="F999" s="0" t="n">
        <v>23886.46</v>
      </c>
      <c r="G999" s="0" t="n">
        <v>-759745.38</v>
      </c>
      <c r="H999" s="0" t="n">
        <v>-2.3698</v>
      </c>
      <c r="I999" s="0" t="n">
        <v>759745.38</v>
      </c>
    </row>
    <row r="1000" customFormat="false" ht="15" hidden="false" customHeight="false" outlineLevel="0" collapsed="false">
      <c r="A1000" s="0" t="n">
        <v>999</v>
      </c>
      <c r="B1000" s="0" t="n">
        <v>-147.38</v>
      </c>
      <c r="C1000" s="0" t="n">
        <v>42.65</v>
      </c>
      <c r="D1000" s="0" t="n">
        <v>-16.19</v>
      </c>
      <c r="E1000" s="0" t="n">
        <v>1985996.74</v>
      </c>
      <c r="F1000" s="0" t="n">
        <v>153420.96</v>
      </c>
      <c r="G1000" s="0" t="n">
        <v>2139417.7</v>
      </c>
      <c r="H1000" s="0" t="n">
        <v>6.6733</v>
      </c>
      <c r="I1000" s="0" t="n">
        <v>2139417.7</v>
      </c>
    </row>
    <row r="1001" customFormat="false" ht="15" hidden="false" customHeight="false" outlineLevel="0" collapsed="false">
      <c r="A1001" s="0" t="n">
        <v>1000</v>
      </c>
      <c r="B1001" s="0" t="n">
        <v>10.38</v>
      </c>
      <c r="C1001" s="0" t="n">
        <v>-120.08</v>
      </c>
      <c r="D1001" s="0" t="n">
        <v>-12.55</v>
      </c>
      <c r="E1001" s="0" t="n">
        <v>-139811.36</v>
      </c>
      <c r="F1001" s="0" t="n">
        <v>760.35</v>
      </c>
      <c r="G1001" s="0" t="n">
        <v>-139051.01</v>
      </c>
      <c r="H1001" s="0" t="n">
        <v>-0.4337</v>
      </c>
      <c r="I1001" s="0" t="n">
        <v>139051.01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2" style="0" width="22"/>
  </cols>
  <sheetData>
    <row r="2" customFormat="false" ht="17.35" hidden="false" customHeight="false" outlineLevel="0" collapsed="false">
      <c r="B2" s="1" t="s">
        <v>1352</v>
      </c>
    </row>
    <row r="4" customFormat="false" ht="15" hidden="false" customHeight="false" outlineLevel="0" collapsed="false">
      <c r="B4" s="11" t="s">
        <v>1353</v>
      </c>
      <c r="C4" s="11" t="s">
        <v>1354</v>
      </c>
      <c r="D4" s="11" t="s">
        <v>1355</v>
      </c>
      <c r="E4" s="11" t="s">
        <v>1356</v>
      </c>
      <c r="F4" s="11" t="s">
        <v>1357</v>
      </c>
    </row>
    <row r="5" customFormat="false" ht="15" hidden="false" customHeight="false" outlineLevel="0" collapsed="false">
      <c r="B5" s="16" t="n">
        <v>0.9</v>
      </c>
      <c r="C5" s="14" t="n">
        <f aca="false">-PERCENTILE(Scenario_Data!G2:G1001,1-B5)</f>
        <v>1467734.137</v>
      </c>
      <c r="D5" s="13" t="n">
        <f aca="false">-PERCENTILE(Scenario_Data!H2:H1001,1-B5)</f>
        <v>4.57821</v>
      </c>
      <c r="E5" s="14" t="n">
        <f aca="false">-AVERAGEIF(Scenario_Data!G2:G1001,"&lt;="&amp;(-C5),Scenario_Data!G2:G1001)</f>
        <v>2033195.4656</v>
      </c>
      <c r="F5" s="13" t="n">
        <f aca="false">-AVERAGEIF(Scenario_Data!H2:H1001,"&lt;="&amp;(-D5),Scenario_Data!H2:H1001)</f>
        <v>6.341968</v>
      </c>
    </row>
    <row r="6" customFormat="false" ht="15" hidden="false" customHeight="false" outlineLevel="0" collapsed="false">
      <c r="B6" s="16" t="n">
        <v>0.95</v>
      </c>
      <c r="C6" s="14" t="n">
        <f aca="false">-PERCENTILE(Scenario_Data!G2:G1001,1-B6)</f>
        <v>1976671.428</v>
      </c>
      <c r="D6" s="13" t="n">
        <f aca="false">-PERCENTILE(Scenario_Data!H2:H1001,1-B6)</f>
        <v>6.165655</v>
      </c>
      <c r="E6" s="14" t="n">
        <f aca="false">-AVERAGEIF(Scenario_Data!G2:G1001,"&lt;="&amp;(-C6),Scenario_Data!G2:G1001)</f>
        <v>2377153.6888</v>
      </c>
      <c r="F6" s="13" t="n">
        <f aca="false">-AVERAGEIF(Scenario_Data!H2:H1001,"&lt;="&amp;(-D6),Scenario_Data!H2:H1001)</f>
        <v>7.414846</v>
      </c>
    </row>
    <row r="7" customFormat="false" ht="15" hidden="false" customHeight="false" outlineLevel="0" collapsed="false">
      <c r="B7" s="16" t="n">
        <v>0.99</v>
      </c>
      <c r="C7" s="14" t="n">
        <f aca="false">-PERCENTILE(Scenario_Data!G2:G1001,1-B7)</f>
        <v>2517270.9615</v>
      </c>
      <c r="D7" s="13" t="n">
        <f aca="false">-PERCENTILE(Scenario_Data!H2:H1001,1-B7)</f>
        <v>7.85193</v>
      </c>
      <c r="E7" s="14" t="n">
        <f aca="false">-AVERAGEIF(Scenario_Data!G2:G1001,"&lt;="&amp;(-C7),Scenario_Data!G2:G1001)</f>
        <v>2999457.146</v>
      </c>
      <c r="F7" s="13" t="n">
        <f aca="false">-AVERAGEIF(Scenario_Data!H2:H1001,"&lt;="&amp;(-D7),Scenario_Data!H2:H1001)</f>
        <v>9.35595</v>
      </c>
    </row>
    <row r="10" customFormat="false" ht="15" hidden="false" customHeight="false" outlineLevel="0" collapsed="false">
      <c r="B10" s="6" t="s">
        <v>1358</v>
      </c>
    </row>
    <row r="11" customFormat="false" ht="15" hidden="false" customHeight="false" outlineLevel="0" collapsed="false">
      <c r="B11" s="6" t="s">
        <v>1359</v>
      </c>
      <c r="C11" s="17" t="n">
        <f aca="false">AVERAGE(Scenario_Data!G2:G1001)</f>
        <v>84166.30197</v>
      </c>
    </row>
    <row r="12" customFormat="false" ht="15" hidden="false" customHeight="false" outlineLevel="0" collapsed="false">
      <c r="B12" s="6" t="s">
        <v>1360</v>
      </c>
      <c r="C12" s="17" t="n">
        <f aca="false">STDEV(Scenario_Data!G2:G1001)</f>
        <v>1293117.19459986</v>
      </c>
    </row>
    <row r="13" customFormat="false" ht="15" hidden="false" customHeight="false" outlineLevel="0" collapsed="false">
      <c r="B13" s="6" t="s">
        <v>1361</v>
      </c>
      <c r="C13" s="17" t="n">
        <f aca="false">MIN(Scenario_Data!G2:G1001)</f>
        <v>-3399503.91</v>
      </c>
    </row>
    <row r="14" customFormat="false" ht="15" hidden="false" customHeight="false" outlineLevel="0" collapsed="false">
      <c r="B14" s="6" t="s">
        <v>1362</v>
      </c>
      <c r="C14" s="17" t="n">
        <f aca="false">MAX(Scenario_Data!G2:G1001)</f>
        <v>5948564.1</v>
      </c>
    </row>
    <row r="15" customFormat="false" ht="15" hidden="false" customHeight="false" outlineLevel="0" collapsed="false">
      <c r="B15" s="6" t="s">
        <v>1363</v>
      </c>
      <c r="C15" s="18" t="n">
        <f aca="false">SKEW(Scenario_Data!G2:G1001)</f>
        <v>0.314184643904765</v>
      </c>
    </row>
    <row r="16" customFormat="false" ht="15" hidden="false" customHeight="false" outlineLevel="0" collapsed="false">
      <c r="B16" s="6" t="s">
        <v>1364</v>
      </c>
      <c r="C16" s="18" t="n">
        <f aca="false">KURT(Scenario_Data!G2:G1001)</f>
        <v>0.266335144301031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2" style="0" width="20"/>
  </cols>
  <sheetData>
    <row r="2" customFormat="false" ht="17.35" hidden="false" customHeight="false" outlineLevel="0" collapsed="false">
      <c r="B2" s="1" t="s">
        <v>1365</v>
      </c>
    </row>
    <row r="4" customFormat="false" ht="15" hidden="false" customHeight="false" outlineLevel="0" collapsed="false">
      <c r="B4" s="11" t="s">
        <v>15</v>
      </c>
      <c r="C4" s="11" t="s">
        <v>1339</v>
      </c>
      <c r="D4" s="11" t="s">
        <v>1340</v>
      </c>
      <c r="E4" s="11" t="s">
        <v>1366</v>
      </c>
      <c r="F4" s="11" t="s">
        <v>1367</v>
      </c>
    </row>
    <row r="5" customFormat="false" ht="15" hidden="false" customHeight="false" outlineLevel="0" collapsed="false">
      <c r="B5" s="12" t="s">
        <v>519</v>
      </c>
      <c r="C5" s="14" t="n">
        <f aca="false">SUMIFS(Bond_Data!AF2:AF301,Bond_Data!D2:D301,B5)</f>
        <v>1768793.07</v>
      </c>
      <c r="D5" s="15" t="n">
        <f aca="false">C5/SUM(Bond_Data!AF2:AF301)*100</f>
        <v>5.51724627088517</v>
      </c>
      <c r="E5" s="13" t="n">
        <f aca="false">SUMPRODUCT((Bond_Data!D2:D301=B5)*Bond_Data!AF2:AF301,Bond_Data!U2:U301)/SUMIFS(Bond_Data!AF2:AF301,Bond_Data!D2:D301,B5)</f>
        <v>2.69661852198008</v>
      </c>
      <c r="F5" s="19" t="n">
        <f aca="false">SUMPRODUCT((Bond_Data!D2:D301=B5)*Bond_Data!AF2:AF301,Bond_Data!AA2:AA301)/SUMIFS(Bond_Data!AF2:AF301,Bond_Data!D2:D301,B5)</f>
        <v>50.6574176819904</v>
      </c>
    </row>
    <row r="6" customFormat="false" ht="15" hidden="false" customHeight="false" outlineLevel="0" collapsed="false">
      <c r="B6" s="12" t="s">
        <v>909</v>
      </c>
      <c r="C6" s="14" t="n">
        <f aca="false">SUMIFS(Bond_Data!AF2:AF301,Bond_Data!D2:D301,B6)</f>
        <v>1025789.67</v>
      </c>
      <c r="D6" s="15" t="n">
        <f aca="false">C6/SUM(Bond_Data!AF2:AF301)*100</f>
        <v>3.19965875461058</v>
      </c>
      <c r="E6" s="13" t="n">
        <f aca="false">SUMPRODUCT((Bond_Data!D2:D301=B6)*Bond_Data!AF2:AF301,Bond_Data!U2:U301)/SUMIFS(Bond_Data!AF2:AF301,Bond_Data!D2:D301,B6)</f>
        <v>2.08957978302999</v>
      </c>
      <c r="F6" s="19" t="n">
        <f aca="false">SUMPRODUCT((Bond_Data!D2:D301=B6)*Bond_Data!AF2:AF301,Bond_Data!AA2:AA301)/SUMIFS(Bond_Data!AF2:AF301,Bond_Data!D2:D301,B6)</f>
        <v>186.827287410683</v>
      </c>
    </row>
    <row r="7" customFormat="false" ht="15" hidden="false" customHeight="false" outlineLevel="0" collapsed="false">
      <c r="B7" s="12" t="s">
        <v>59</v>
      </c>
      <c r="C7" s="14" t="n">
        <f aca="false">SUMIFS(Bond_Data!AF2:AF301,Bond_Data!D2:D301,B7)</f>
        <v>18452107.18</v>
      </c>
      <c r="D7" s="15" t="n">
        <f aca="false">C7/SUM(Bond_Data!AF2:AF301)*100</f>
        <v>57.5560936185873</v>
      </c>
      <c r="E7" s="13" t="n">
        <f aca="false">SUMPRODUCT((Bond_Data!D2:D301=B7)*Bond_Data!AF2:AF301,Bond_Data!U2:U301)/SUMIFS(Bond_Data!AF2:AF301,Bond_Data!D2:D301,B7)</f>
        <v>6.01755309237695</v>
      </c>
      <c r="F7" s="19" t="n">
        <f aca="false">SUMPRODUCT((Bond_Data!D2:D301=B7)*Bond_Data!AF2:AF301,Bond_Data!AA2:AA301)/SUMIFS(Bond_Data!AF2:AF301,Bond_Data!D2:D301,B7)</f>
        <v>0</v>
      </c>
    </row>
    <row r="8" customFormat="false" ht="15" hidden="false" customHeight="false" outlineLevel="0" collapsed="false">
      <c r="B8" s="12" t="s">
        <v>536</v>
      </c>
      <c r="C8" s="14" t="n">
        <f aca="false">SUMIFS(Bond_Data!AF2:AF301,Bond_Data!D2:D301,B8)</f>
        <v>2785416</v>
      </c>
      <c r="D8" s="15" t="n">
        <f aca="false">C8/SUM(Bond_Data!AF2:AF301)*100</f>
        <v>8.68831199053934</v>
      </c>
      <c r="E8" s="13" t="n">
        <f aca="false">SUMPRODUCT((Bond_Data!D2:D301=B8)*Bond_Data!AF2:AF301,Bond_Data!U2:U301)/SUMIFS(Bond_Data!AF2:AF301,Bond_Data!D2:D301,B8)</f>
        <v>1.49400207345151</v>
      </c>
      <c r="F8" s="19" t="n">
        <f aca="false">SUMPRODUCT((Bond_Data!D2:D301=B8)*Bond_Data!AF2:AF301,Bond_Data!AA2:AA301)/SUMIFS(Bond_Data!AF2:AF301,Bond_Data!D2:D301,B8)</f>
        <v>101.937896482967</v>
      </c>
    </row>
    <row r="9" customFormat="false" ht="15" hidden="false" customHeight="false" outlineLevel="0" collapsed="false">
      <c r="B9" s="12" t="s">
        <v>526</v>
      </c>
      <c r="C9" s="14" t="n">
        <f aca="false">SUMIFS(Bond_Data!AF2:AF301,Bond_Data!D2:D301,B9)</f>
        <v>7208368</v>
      </c>
      <c r="D9" s="15" t="n">
        <f aca="false">C9/SUM(Bond_Data!AF2:AF301)*100</f>
        <v>22.4844512010486</v>
      </c>
      <c r="E9" s="13" t="n">
        <f aca="false">SUMPRODUCT((Bond_Data!D2:D301=B9)*Bond_Data!AF2:AF301,Bond_Data!U2:U301)/SUMIFS(Bond_Data!AF2:AF301,Bond_Data!D2:D301,B9)</f>
        <v>1.51228852595844</v>
      </c>
      <c r="F9" s="19" t="n">
        <f aca="false">SUMPRODUCT((Bond_Data!D2:D301=B9)*Bond_Data!AF2:AF301,Bond_Data!AA2:AA301)/SUMIFS(Bond_Data!AF2:AF301,Bond_Data!D2:D301,B9)</f>
        <v>81.9780158435307</v>
      </c>
    </row>
    <row r="10" customFormat="false" ht="15" hidden="false" customHeight="false" outlineLevel="0" collapsed="false">
      <c r="B10" s="12" t="s">
        <v>920</v>
      </c>
      <c r="C10" s="14" t="n">
        <f aca="false">SUMIFS(Bond_Data!AF2:AF301,Bond_Data!D2:D301,B10)</f>
        <v>818872.05</v>
      </c>
      <c r="D10" s="15" t="n">
        <f aca="false">C10/SUM(Bond_Data!AF2:AF301)*100</f>
        <v>2.55423816432897</v>
      </c>
      <c r="E10" s="13" t="n">
        <f aca="false">SUMPRODUCT((Bond_Data!D2:D301=B10)*Bond_Data!AF2:AF301,Bond_Data!U2:U301)/SUMIFS(Bond_Data!AF2:AF301,Bond_Data!D2:D301,B10)</f>
        <v>2.12146715452432</v>
      </c>
      <c r="F10" s="19" t="n">
        <f aca="false">SUMPRODUCT((Bond_Data!D2:D301=B10)*Bond_Data!AF2:AF301,Bond_Data!AA2:AA301)/SUMIFS(Bond_Data!AF2:AF301,Bond_Data!D2:D301,B10)</f>
        <v>208.989706658079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1368</v>
      </c>
    </row>
    <row r="3" customFormat="false" ht="15" hidden="false" customHeight="false" outlineLevel="0" collapsed="false">
      <c r="B3" s="5" t="s">
        <v>1369</v>
      </c>
    </row>
    <row r="5" customFormat="false" ht="15" hidden="false" customHeight="false" outlineLevel="0" collapsed="false">
      <c r="B5" s="6" t="s">
        <v>1370</v>
      </c>
    </row>
    <row r="6" customFormat="false" ht="13.5" hidden="false" customHeight="true" outlineLevel="0" collapsed="false">
      <c r="B6" s="20" t="s">
        <v>1371</v>
      </c>
    </row>
    <row r="8" customFormat="false" ht="15" hidden="false" customHeight="false" outlineLevel="0" collapsed="false">
      <c r="B8" s="6" t="s">
        <v>1372</v>
      </c>
    </row>
    <row r="9" customFormat="false" ht="42" hidden="false" customHeight="true" outlineLevel="0" collapsed="false">
      <c r="B9" s="20" t="s">
        <v>1373</v>
      </c>
    </row>
    <row r="11" customFormat="false" ht="15" hidden="false" customHeight="false" outlineLevel="0" collapsed="false">
      <c r="B11" s="6" t="s">
        <v>1330</v>
      </c>
    </row>
    <row r="12" customFormat="false" ht="42" hidden="false" customHeight="true" outlineLevel="0" collapsed="false">
      <c r="B12" s="20" t="s">
        <v>1374</v>
      </c>
    </row>
    <row r="14" customFormat="false" ht="15" hidden="false" customHeight="false" outlineLevel="0" collapsed="false">
      <c r="B14" s="6" t="s">
        <v>1375</v>
      </c>
    </row>
    <row r="15" customFormat="false" ht="27.75" hidden="false" customHeight="true" outlineLevel="0" collapsed="false">
      <c r="B15" s="20" t="s">
        <v>1376</v>
      </c>
    </row>
    <row r="17" customFormat="false" ht="15" hidden="false" customHeight="false" outlineLevel="0" collapsed="false">
      <c r="B17" s="6" t="s">
        <v>1377</v>
      </c>
    </row>
    <row r="18" customFormat="false" ht="27.75" hidden="false" customHeight="true" outlineLevel="0" collapsed="false">
      <c r="B18" s="20" t="s">
        <v>1378</v>
      </c>
    </row>
    <row r="20" customFormat="false" ht="15" hidden="false" customHeight="false" outlineLevel="0" collapsed="false">
      <c r="B20" s="6" t="s">
        <v>1379</v>
      </c>
    </row>
    <row r="21" customFormat="false" ht="55.5" hidden="false" customHeight="true" outlineLevel="0" collapsed="false">
      <c r="B21" s="20" t="s">
        <v>1380</v>
      </c>
    </row>
    <row r="23" customFormat="false" ht="15" hidden="false" customHeight="false" outlineLevel="0" collapsed="false">
      <c r="B23" s="6" t="s">
        <v>1381</v>
      </c>
    </row>
    <row r="24" customFormat="false" ht="13.5" hidden="false" customHeight="true" outlineLevel="0" collapsed="false">
      <c r="B24" s="20" t="s">
        <v>1382</v>
      </c>
    </row>
    <row r="26" customFormat="false" ht="15" hidden="false" customHeight="false" outlineLevel="0" collapsed="false">
      <c r="B26" s="6" t="s">
        <v>1383</v>
      </c>
    </row>
    <row r="27" customFormat="false" ht="42" hidden="false" customHeight="true" outlineLevel="0" collapsed="false">
      <c r="B27" s="20" t="s">
        <v>1384</v>
      </c>
    </row>
    <row r="29" customFormat="false" ht="15" hidden="false" customHeight="false" outlineLevel="0" collapsed="false">
      <c r="B29" s="6" t="s">
        <v>1385</v>
      </c>
    </row>
    <row r="30" customFormat="false" ht="55.5" hidden="false" customHeight="true" outlineLevel="0" collapsed="false">
      <c r="B30" s="20" t="s">
        <v>1386</v>
      </c>
    </row>
    <row r="32" customFormat="false" ht="15" hidden="false" customHeight="false" outlineLevel="0" collapsed="false">
      <c r="B32" s="6" t="s">
        <v>1387</v>
      </c>
    </row>
    <row r="33" customFormat="false" ht="55.5" hidden="false" customHeight="true" outlineLevel="0" collapsed="false">
      <c r="B33" s="20" t="s">
        <v>1388</v>
      </c>
    </row>
    <row r="35" customFormat="false" ht="15" hidden="false" customHeight="false" outlineLevel="0" collapsed="false">
      <c r="B35" s="6" t="s">
        <v>1389</v>
      </c>
    </row>
    <row r="36" customFormat="false" ht="13.5" hidden="false" customHeight="true" outlineLevel="0" collapsed="false">
      <c r="B36" s="20" t="s">
        <v>1390</v>
      </c>
    </row>
    <row r="38" customFormat="false" ht="15" hidden="false" customHeight="false" outlineLevel="0" collapsed="false">
      <c r="B38" s="6" t="s">
        <v>1391</v>
      </c>
    </row>
    <row r="39" customFormat="false" ht="153.75" hidden="false" customHeight="true" outlineLevel="0" collapsed="false">
      <c r="B39" s="20" t="s">
        <v>1392</v>
      </c>
    </row>
    <row r="42" customFormat="false" ht="15" hidden="false" customHeight="false" outlineLevel="0" collapsed="false">
      <c r="B42" s="6" t="s">
        <v>1393</v>
      </c>
    </row>
    <row r="43" customFormat="false" ht="15" hidden="false" customHeight="false" outlineLevel="0" collapsed="false">
      <c r="B43" s="2" t="s">
        <v>1394</v>
      </c>
    </row>
    <row r="44" customFormat="false" ht="15" hidden="false" customHeight="false" outlineLevel="0" collapsed="false">
      <c r="B44" s="2" t="s">
        <v>1395</v>
      </c>
    </row>
    <row r="45" customFormat="false" ht="15" hidden="false" customHeight="false" outlineLevel="0" collapsed="false">
      <c r="B45" s="2" t="s">
        <v>1396</v>
      </c>
    </row>
    <row r="46" customFormat="false" ht="15" hidden="false" customHeight="false" outlineLevel="0" collapsed="false">
      <c r="B46" s="2" t="s">
        <v>1397</v>
      </c>
    </row>
    <row r="47" customFormat="false" ht="15" hidden="false" customHeight="false" outlineLevel="0" collapsed="false">
      <c r="B47" s="2" t="s">
        <v>1398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2026-07-04T11:23:42Z</dcterms:created>
  <dc:creator>openpyxl</dc:creator>
  <dc:description/>
  <dc:language>en-US</dc:language>
  <cp:lastModifiedBy/>
  <dcterms:modified xsi:type="dcterms:W3CDTF">2026-07-04T11:23:50Z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